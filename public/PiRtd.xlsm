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s\nseTools\zerodha\public\"/>
    </mc:Choice>
  </mc:AlternateContent>
  <xr:revisionPtr revIDLastSave="0" documentId="13_ncr:1_{94C78019-E7EC-41FC-9253-C98D273AF23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rketWatch" sheetId="1" r:id="rId1"/>
    <sheet name="DDE" sheetId="3" r:id="rId2"/>
    <sheet name="Instructions" sheetId="2" r:id="rId3"/>
  </sheets>
  <functionGroups builtInGroupCount="19"/>
  <definedNames>
    <definedName name="ICICIBANKEQ_Ask">DDE!$G$2</definedName>
    <definedName name="ICICIBANKEQ_AskSize">DDE!$H$2</definedName>
    <definedName name="ICICIBANKEQ_Bid">DDE!$E$2</definedName>
    <definedName name="ICICIBANKEQ_BidSize">DDE!$F$2</definedName>
    <definedName name="ICICIBANKEQ_High">DDE!$J$2</definedName>
    <definedName name="ICICIBANKEQ_Last">DDE!$C$2</definedName>
    <definedName name="ICICIBANKEQ_LastSize">DDE!$D$2</definedName>
    <definedName name="ICICIBANKEQ_Low">DDE!$K$2</definedName>
    <definedName name="ICICIBANKEQ_Open">DDE!$I$2</definedName>
    <definedName name="ICICIBANKEQ_Volume">DDE!$L$2</definedName>
    <definedName name="NIFTY16NOVFUT_Ask">DDE!$G$3</definedName>
    <definedName name="NIFTY16NOVFUT_AskSize">DDE!$H$3</definedName>
    <definedName name="NIFTY16NOVFUT_Bid">DDE!$E$3</definedName>
    <definedName name="NIFTY16NOVFUT_BidSize">DDE!$F$3</definedName>
    <definedName name="NIFTY16NOVFUT_High">DDE!$J$3</definedName>
    <definedName name="NIFTY16NOVFUT_Last">DDE!$C$3</definedName>
    <definedName name="NIFTY16NOVFUT_LastSize">DDE!$D$3</definedName>
    <definedName name="NIFTY16NOVFUT_Low">DDE!$K$3</definedName>
    <definedName name="NIFTY16NOVFUT_Open">DDE!$I$3</definedName>
    <definedName name="NIFTY16NOVFUT_Volume">DDE!$L$3</definedName>
    <definedName name="SAMPLETICKER_Ask">DDE!$G$52</definedName>
    <definedName name="SAMPLETICKER_AskSize">DDE!$H$52</definedName>
    <definedName name="SAMPLETICKER_Bid">DDE!$E$52</definedName>
    <definedName name="SAMPLETICKER_BidSize">DDE!$F$52</definedName>
    <definedName name="SAMPLETICKER_High">DDE!$J$52</definedName>
    <definedName name="SAMPLETICKER_Last">DDE!$C$52</definedName>
    <definedName name="SAMPLETICKER_LastSize">DDE!$D$52</definedName>
    <definedName name="SAMPLETICKER_Low">DDE!$K$52</definedName>
    <definedName name="SAMPLETICKER_Open">DDE!$I$52</definedName>
    <definedName name="SAMPLETICKER_Volume">DDE!$L$52</definedName>
    <definedName name="SILVERM16NOVFUT_Ask">DDE!$G$4</definedName>
    <definedName name="SILVERM16NOVFUT_AskSize">DDE!$H$4</definedName>
    <definedName name="SILVERM16NOVFUT_Bid">DDE!$E$4</definedName>
    <definedName name="SILVERM16NOVFUT_BidSize">DDE!$F$4</definedName>
    <definedName name="SILVERM16NOVFUT_High">DDE!$J$4</definedName>
    <definedName name="SILVERM16NOVFUT_Last">DDE!$C$4</definedName>
    <definedName name="SILVERM16NOVFUT_LastSize">DDE!$D$4</definedName>
    <definedName name="SILVERM16NOVFUT_Low">DDE!$K$4</definedName>
    <definedName name="SILVERM16NOVFUT_Open">DDE!$I$4</definedName>
    <definedName name="SILVERM16NOVFUT_Volume">DDE!$L$4</definedName>
    <definedName name="YESBANKEQ_Ask">DDE!$G$5</definedName>
    <definedName name="YESBANKEQ_AskSize">DDE!$H$5</definedName>
    <definedName name="YESBANKEQ_Bid">DDE!$E$5</definedName>
    <definedName name="YESBANKEQ_BidSize">DDE!$F$5</definedName>
    <definedName name="YESBANKEQ_High">DDE!$J$5</definedName>
    <definedName name="YESBANKEQ_Last">DDE!$C$5</definedName>
    <definedName name="YESBANKEQ_LastSize">DDE!$D$5</definedName>
    <definedName name="YESBANKEQ_Low">DDE!$K$5</definedName>
    <definedName name="YESBANKEQ_Open">DDE!$I$5</definedName>
    <definedName name="YESBANKEQ_Volume">DDE!$L$5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3" l="1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2" i="3"/>
  <c r="B2" i="3" s="1"/>
  <c r="B3" i="3" l="1"/>
  <c r="D11" i="3"/>
  <c r="G18" i="3"/>
  <c r="K24" i="3"/>
  <c r="F31" i="3"/>
  <c r="J37" i="3"/>
  <c r="C44" i="3"/>
  <c r="G50" i="3"/>
  <c r="G11" i="3"/>
  <c r="F28" i="3"/>
  <c r="F44" i="3"/>
  <c r="I11" i="3"/>
  <c r="G23" i="3"/>
  <c r="D34" i="3"/>
  <c r="F11" i="3"/>
  <c r="I18" i="3"/>
  <c r="D25" i="3"/>
  <c r="H31" i="3"/>
  <c r="L37" i="3"/>
  <c r="E44" i="3"/>
  <c r="I50" i="3"/>
  <c r="K11" i="3"/>
  <c r="J28" i="3"/>
  <c r="J44" i="3"/>
  <c r="C13" i="3"/>
  <c r="K23" i="3"/>
  <c r="H34" i="3"/>
  <c r="I10" i="3"/>
  <c r="C18" i="3"/>
  <c r="G24" i="3"/>
  <c r="K30" i="3"/>
  <c r="F37" i="3"/>
  <c r="J43" i="3"/>
  <c r="C50" i="3"/>
  <c r="L10" i="3"/>
  <c r="E27" i="3"/>
  <c r="E43" i="3"/>
  <c r="J10" i="3"/>
  <c r="L22" i="3"/>
  <c r="G33" i="3"/>
  <c r="K6" i="3"/>
  <c r="E14" i="3"/>
  <c r="I20" i="3"/>
  <c r="D27" i="3"/>
  <c r="H33" i="3"/>
  <c r="L39" i="3"/>
  <c r="E46" i="3"/>
  <c r="D12" i="3"/>
  <c r="I17" i="3"/>
  <c r="I33" i="3"/>
  <c r="I49" i="3"/>
  <c r="H16" i="3"/>
  <c r="C27" i="3"/>
  <c r="K37" i="3"/>
  <c r="K43" i="3"/>
  <c r="H38" i="3"/>
  <c r="L50" i="3"/>
  <c r="C47" i="3"/>
  <c r="G43" i="3"/>
  <c r="N3" i="3"/>
  <c r="C2" i="3"/>
  <c r="K3" i="3"/>
  <c r="G3" i="3"/>
  <c r="I5" i="3"/>
  <c r="L18" i="3"/>
  <c r="L46" i="3"/>
  <c r="H4" i="3"/>
  <c r="H5" i="3"/>
  <c r="L11" i="3"/>
  <c r="F19" i="3"/>
  <c r="J25" i="3"/>
  <c r="C32" i="3"/>
  <c r="G38" i="3"/>
  <c r="K44" i="3"/>
  <c r="F51" i="3"/>
  <c r="F14" i="3"/>
  <c r="F30" i="3"/>
  <c r="F46" i="3"/>
  <c r="D14" i="3"/>
  <c r="L24" i="3"/>
  <c r="J5" i="3"/>
  <c r="D13" i="3"/>
  <c r="H19" i="3"/>
  <c r="L25" i="3"/>
  <c r="E32" i="3"/>
  <c r="I38" i="3"/>
  <c r="D45" i="3"/>
  <c r="H51" i="3"/>
  <c r="J14" i="3"/>
  <c r="J30" i="3"/>
  <c r="J46" i="3"/>
  <c r="H14" i="3"/>
  <c r="C25" i="3"/>
  <c r="D5" i="3"/>
  <c r="H11" i="3"/>
  <c r="K18" i="3"/>
  <c r="F25" i="3"/>
  <c r="J31" i="3"/>
  <c r="C38" i="3"/>
  <c r="G44" i="3"/>
  <c r="K50" i="3"/>
  <c r="E13" i="3"/>
  <c r="E29" i="3"/>
  <c r="E45" i="3"/>
  <c r="G13" i="3"/>
  <c r="D24" i="3"/>
  <c r="L34" i="3"/>
  <c r="J7" i="3"/>
  <c r="D15" i="3"/>
  <c r="H21" i="3"/>
  <c r="L27" i="3"/>
  <c r="E34" i="3"/>
  <c r="I40" i="3"/>
  <c r="D47" i="3"/>
  <c r="K5" i="3"/>
  <c r="I19" i="3"/>
  <c r="I35" i="3"/>
  <c r="I51" i="3"/>
  <c r="K17" i="3"/>
  <c r="H28" i="3"/>
  <c r="C39" i="3"/>
  <c r="C45" i="3"/>
  <c r="C41" i="3"/>
  <c r="I12" i="3"/>
  <c r="H48" i="3"/>
  <c r="L44" i="3"/>
  <c r="F2" i="3"/>
  <c r="H2" i="3"/>
  <c r="G2" i="3"/>
  <c r="K2" i="3"/>
  <c r="F22" i="3"/>
  <c r="D30" i="3"/>
  <c r="D29" i="3"/>
  <c r="K7" i="3"/>
  <c r="K19" i="3"/>
  <c r="C22" i="3"/>
  <c r="F41" i="3"/>
  <c r="E37" i="3"/>
  <c r="E18" i="3"/>
  <c r="L43" i="3"/>
  <c r="E11" i="3"/>
  <c r="D38" i="3"/>
  <c r="D50" i="3"/>
  <c r="I3" i="3"/>
  <c r="K25" i="3"/>
  <c r="J4" i="3"/>
  <c r="E6" i="3"/>
  <c r="J13" i="3"/>
  <c r="C20" i="3"/>
  <c r="G26" i="3"/>
  <c r="K32" i="3"/>
  <c r="F39" i="3"/>
  <c r="J45" i="3"/>
  <c r="C12" i="3"/>
  <c r="F16" i="3"/>
  <c r="F32" i="3"/>
  <c r="F48" i="3"/>
  <c r="G15" i="3"/>
  <c r="D26" i="3"/>
  <c r="G6" i="3"/>
  <c r="L13" i="3"/>
  <c r="E20" i="3"/>
  <c r="I26" i="3"/>
  <c r="D33" i="3"/>
  <c r="H39" i="3"/>
  <c r="L45" i="3"/>
  <c r="G12" i="3"/>
  <c r="J16" i="3"/>
  <c r="J32" i="3"/>
  <c r="J48" i="3"/>
  <c r="K15" i="3"/>
  <c r="H26" i="3"/>
  <c r="L5" i="3"/>
  <c r="F13" i="3"/>
  <c r="J19" i="3"/>
  <c r="C26" i="3"/>
  <c r="G32" i="3"/>
  <c r="K38" i="3"/>
  <c r="F45" i="3"/>
  <c r="J51" i="3"/>
  <c r="E15" i="3"/>
  <c r="E31" i="3"/>
  <c r="E47" i="3"/>
  <c r="L14" i="3"/>
  <c r="G25" i="3"/>
  <c r="D36" i="3"/>
  <c r="G8" i="3"/>
  <c r="L15" i="3"/>
  <c r="E22" i="3"/>
  <c r="I28" i="3"/>
  <c r="D35" i="3"/>
  <c r="H41" i="3"/>
  <c r="L47" i="3"/>
  <c r="C7" i="3"/>
  <c r="I21" i="3"/>
  <c r="I37" i="3"/>
  <c r="E5" i="3"/>
  <c r="C19" i="3"/>
  <c r="K29" i="3"/>
  <c r="H40" i="3"/>
  <c r="H46" i="3"/>
  <c r="L42" i="3"/>
  <c r="L36" i="3"/>
  <c r="K49" i="3"/>
  <c r="D46" i="3"/>
  <c r="D2" i="3"/>
  <c r="F4" i="3"/>
  <c r="L4" i="3"/>
  <c r="H3" i="3"/>
  <c r="F38" i="3"/>
  <c r="G19" i="3"/>
  <c r="E16" i="3"/>
  <c r="H35" i="3"/>
  <c r="J22" i="3"/>
  <c r="H30" i="3"/>
  <c r="G28" i="3"/>
  <c r="L6" i="3"/>
  <c r="G29" i="3"/>
  <c r="D31" i="3"/>
  <c r="I43" i="3"/>
  <c r="H50" i="3"/>
  <c r="F3" i="3"/>
  <c r="G49" i="3"/>
  <c r="D7" i="3"/>
  <c r="G14" i="3"/>
  <c r="K20" i="3"/>
  <c r="F27" i="3"/>
  <c r="J33" i="3"/>
  <c r="C40" i="3"/>
  <c r="G46" i="3"/>
  <c r="J12" i="3"/>
  <c r="F18" i="3"/>
  <c r="F34" i="3"/>
  <c r="F50" i="3"/>
  <c r="L16" i="3"/>
  <c r="G27" i="3"/>
  <c r="F7" i="3"/>
  <c r="I14" i="3"/>
  <c r="D21" i="3"/>
  <c r="H27" i="3"/>
  <c r="L33" i="3"/>
  <c r="E40" i="3"/>
  <c r="I46" i="3"/>
  <c r="C5" i="3"/>
  <c r="J18" i="3"/>
  <c r="J34" i="3"/>
  <c r="J50" i="3"/>
  <c r="C17" i="3"/>
  <c r="K27" i="3"/>
  <c r="I6" i="3"/>
  <c r="C14" i="3"/>
  <c r="G20" i="3"/>
  <c r="K26" i="3"/>
  <c r="F33" i="3"/>
  <c r="J39" i="3"/>
  <c r="C46" i="3"/>
  <c r="K12" i="3"/>
  <c r="E17" i="3"/>
  <c r="E33" i="3"/>
  <c r="E49" i="3"/>
  <c r="D16" i="3"/>
  <c r="L26" i="3"/>
  <c r="G37" i="3"/>
  <c r="F9" i="3"/>
  <c r="I16" i="3"/>
  <c r="D23" i="3"/>
  <c r="H29" i="3"/>
  <c r="L35" i="3"/>
  <c r="E42" i="3"/>
  <c r="I48" i="3"/>
  <c r="H8" i="3"/>
  <c r="I23" i="3"/>
  <c r="I39" i="3"/>
  <c r="E7" i="3"/>
  <c r="H20" i="3"/>
  <c r="C31" i="3"/>
  <c r="K41" i="3"/>
  <c r="K47" i="3"/>
  <c r="D44" i="3"/>
  <c r="G39" i="3"/>
  <c r="C51" i="3"/>
  <c r="G47" i="3"/>
  <c r="J3" i="3"/>
  <c r="L2" i="3"/>
  <c r="I2" i="3"/>
  <c r="D4" i="3"/>
  <c r="C48" i="3"/>
  <c r="K8" i="3"/>
  <c r="L41" i="3"/>
  <c r="J38" i="3"/>
  <c r="E8" i="3"/>
  <c r="K34" i="3"/>
  <c r="E21" i="3"/>
  <c r="D40" i="3"/>
  <c r="I24" i="3"/>
  <c r="C11" i="3"/>
  <c r="C23" i="3"/>
  <c r="C43" i="3"/>
  <c r="J2" i="3"/>
  <c r="K35" i="3"/>
  <c r="L7" i="3"/>
  <c r="F15" i="3"/>
  <c r="J21" i="3"/>
  <c r="C28" i="3"/>
  <c r="G34" i="3"/>
  <c r="K40" i="3"/>
  <c r="F47" i="3"/>
  <c r="D6" i="3"/>
  <c r="F20" i="3"/>
  <c r="F36" i="3"/>
  <c r="E12" i="3"/>
  <c r="D18" i="3"/>
  <c r="L28" i="3"/>
  <c r="C8" i="3"/>
  <c r="H15" i="3"/>
  <c r="L21" i="3"/>
  <c r="E28" i="3"/>
  <c r="I34" i="3"/>
  <c r="D41" i="3"/>
  <c r="H47" i="3"/>
  <c r="H6" i="3"/>
  <c r="J20" i="3"/>
  <c r="J36" i="3"/>
  <c r="H12" i="3"/>
  <c r="H18" i="3"/>
  <c r="C29" i="3"/>
  <c r="H7" i="3"/>
  <c r="K14" i="3"/>
  <c r="F21" i="3"/>
  <c r="J27" i="3"/>
  <c r="C34" i="3"/>
  <c r="G40" i="3"/>
  <c r="K46" i="3"/>
  <c r="G5" i="3"/>
  <c r="E19" i="3"/>
  <c r="E35" i="3"/>
  <c r="E51" i="3"/>
  <c r="G17" i="3"/>
  <c r="D28" i="3"/>
  <c r="L38" i="3"/>
  <c r="C10" i="3"/>
  <c r="H17" i="3"/>
  <c r="L23" i="3"/>
  <c r="E30" i="3"/>
  <c r="I36" i="3"/>
  <c r="D43" i="3"/>
  <c r="H49" i="3"/>
  <c r="K9" i="3"/>
  <c r="I25" i="3"/>
  <c r="I41" i="3"/>
  <c r="E9" i="3"/>
  <c r="K21" i="3"/>
  <c r="H32" i="3"/>
  <c r="G35" i="3"/>
  <c r="C49" i="3"/>
  <c r="G45" i="3"/>
  <c r="G41" i="3"/>
  <c r="F12" i="3"/>
  <c r="L48" i="3"/>
  <c r="I4" i="3"/>
  <c r="L3" i="3"/>
  <c r="E2" i="3"/>
  <c r="D3" i="3"/>
  <c r="G7" i="3"/>
  <c r="I22" i="3"/>
  <c r="E48" i="3"/>
  <c r="F6" i="3"/>
  <c r="J15" i="3"/>
  <c r="J47" i="3"/>
  <c r="L12" i="3"/>
  <c r="K10" i="3"/>
  <c r="H37" i="3"/>
  <c r="I27" i="3"/>
  <c r="K33" i="3"/>
  <c r="C37" i="3"/>
  <c r="C4" i="3"/>
  <c r="H36" i="3"/>
  <c r="N4" i="3"/>
  <c r="I8" i="3"/>
  <c r="C16" i="3"/>
  <c r="G22" i="3"/>
  <c r="K28" i="3"/>
  <c r="F35" i="3"/>
  <c r="J41" i="3"/>
  <c r="E50" i="3"/>
  <c r="G4" i="3"/>
  <c r="H9" i="3"/>
  <c r="K16" i="3"/>
  <c r="F23" i="3"/>
  <c r="J29" i="3"/>
  <c r="C36" i="3"/>
  <c r="G42" i="3"/>
  <c r="K48" i="3"/>
  <c r="L8" i="3"/>
  <c r="F24" i="3"/>
  <c r="F40" i="3"/>
  <c r="I7" i="3"/>
  <c r="L20" i="3"/>
  <c r="G31" i="3"/>
  <c r="J9" i="3"/>
  <c r="D17" i="3"/>
  <c r="H23" i="3"/>
  <c r="L29" i="3"/>
  <c r="E36" i="3"/>
  <c r="I42" i="3"/>
  <c r="D49" i="3"/>
  <c r="C9" i="3"/>
  <c r="J24" i="3"/>
  <c r="J40" i="3"/>
  <c r="F8" i="3"/>
  <c r="C21" i="3"/>
  <c r="K31" i="3"/>
  <c r="D9" i="3"/>
  <c r="G16" i="3"/>
  <c r="K22" i="3"/>
  <c r="F29" i="3"/>
  <c r="J35" i="3"/>
  <c r="C42" i="3"/>
  <c r="G48" i="3"/>
  <c r="D8" i="3"/>
  <c r="E23" i="3"/>
  <c r="E39" i="3"/>
  <c r="J6" i="3"/>
  <c r="D20" i="3"/>
  <c r="L30" i="3"/>
  <c r="F5" i="3"/>
  <c r="J11" i="3"/>
  <c r="D19" i="3"/>
  <c r="H25" i="3"/>
  <c r="L31" i="3"/>
  <c r="E38" i="3"/>
  <c r="I44" i="3"/>
  <c r="D51" i="3"/>
  <c r="I13" i="3"/>
  <c r="I29" i="3"/>
  <c r="I45" i="3"/>
  <c r="K13" i="3"/>
  <c r="H24" i="3"/>
  <c r="C35" i="3"/>
  <c r="L40" i="3"/>
  <c r="K51" i="3"/>
  <c r="D48" i="3"/>
  <c r="H44" i="3"/>
  <c r="K39" i="3"/>
  <c r="G51" i="3"/>
  <c r="K4" i="3"/>
  <c r="C3" i="3"/>
  <c r="E3" i="3"/>
  <c r="E4" i="3"/>
  <c r="F26" i="3"/>
  <c r="L49" i="3"/>
  <c r="J42" i="3"/>
  <c r="H22" i="3"/>
  <c r="L9" i="3"/>
  <c r="J23" i="3"/>
  <c r="G36" i="3"/>
  <c r="F49" i="3"/>
  <c r="E25" i="3"/>
  <c r="J8" i="3"/>
  <c r="G21" i="3"/>
  <c r="C6" i="3"/>
  <c r="L19" i="3"/>
  <c r="I32" i="3"/>
  <c r="H45" i="3"/>
  <c r="I15" i="3"/>
  <c r="I31" i="3"/>
  <c r="C15" i="3"/>
  <c r="K45" i="3"/>
  <c r="E10" i="3"/>
  <c r="J17" i="3"/>
  <c r="C24" i="3"/>
  <c r="G30" i="3"/>
  <c r="K36" i="3"/>
  <c r="F43" i="3"/>
  <c r="J49" i="3"/>
  <c r="D10" i="3"/>
  <c r="F42" i="3"/>
  <c r="I9" i="3"/>
  <c r="D22" i="3"/>
  <c r="L32" i="3"/>
  <c r="G10" i="3"/>
  <c r="L17" i="3"/>
  <c r="E24" i="3"/>
  <c r="I30" i="3"/>
  <c r="D37" i="3"/>
  <c r="H43" i="3"/>
  <c r="H10" i="3"/>
  <c r="J26" i="3"/>
  <c r="F10" i="3"/>
  <c r="C33" i="3"/>
  <c r="F17" i="3"/>
  <c r="C30" i="3"/>
  <c r="K42" i="3"/>
  <c r="G9" i="3"/>
  <c r="E41" i="3"/>
  <c r="D32" i="3"/>
  <c r="H13" i="3"/>
  <c r="E26" i="3"/>
  <c r="D39" i="3"/>
  <c r="L51" i="3"/>
  <c r="I47" i="3"/>
  <c r="H42" i="3"/>
  <c r="D42" i="3"/>
  <c r="N48" i="3" l="1"/>
  <c r="N44" i="3"/>
  <c r="N40" i="3"/>
  <c r="N36" i="3"/>
  <c r="N32" i="3"/>
  <c r="N28" i="3"/>
  <c r="N24" i="3"/>
  <c r="N20" i="3"/>
  <c r="N16" i="3"/>
  <c r="N12" i="3"/>
  <c r="N8" i="3"/>
  <c r="N51" i="3"/>
  <c r="N47" i="3"/>
  <c r="N43" i="3"/>
  <c r="N39" i="3"/>
  <c r="N35" i="3"/>
  <c r="N31" i="3"/>
  <c r="N27" i="3"/>
  <c r="N23" i="3"/>
  <c r="N19" i="3"/>
  <c r="N15" i="3"/>
  <c r="N11" i="3"/>
  <c r="N7" i="3"/>
  <c r="N50" i="3"/>
  <c r="N46" i="3"/>
  <c r="N42" i="3"/>
  <c r="N38" i="3"/>
  <c r="N34" i="3"/>
  <c r="N30" i="3"/>
  <c r="N26" i="3"/>
  <c r="N22" i="3"/>
  <c r="N18" i="3"/>
  <c r="N14" i="3"/>
  <c r="N10" i="3"/>
  <c r="N6" i="3"/>
  <c r="N49" i="3"/>
  <c r="N45" i="3"/>
  <c r="N41" i="3"/>
  <c r="N37" i="3"/>
  <c r="N33" i="3"/>
  <c r="N29" i="3"/>
  <c r="N25" i="3"/>
  <c r="N21" i="3"/>
  <c r="N17" i="3"/>
  <c r="N13" i="3"/>
  <c r="N9" i="3"/>
  <c r="N5" i="3"/>
  <c r="N2" i="3"/>
</calcChain>
</file>

<file path=xl/sharedStrings.xml><?xml version="1.0" encoding="utf-8"?>
<sst xmlns="http://schemas.openxmlformats.org/spreadsheetml/2006/main" count="104" uniqueCount="101">
  <si>
    <t>Last</t>
  </si>
  <si>
    <t>LTQ</t>
  </si>
  <si>
    <t>Bid</t>
  </si>
  <si>
    <t>BidSize</t>
  </si>
  <si>
    <t>Ask</t>
  </si>
  <si>
    <t>AskSize</t>
  </si>
  <si>
    <t>Open</t>
  </si>
  <si>
    <t>High</t>
  </si>
  <si>
    <t>Low</t>
  </si>
  <si>
    <t>Volume</t>
  </si>
  <si>
    <t>Exch</t>
  </si>
  <si>
    <t>Trade Symbol</t>
  </si>
  <si>
    <t>NSE</t>
  </si>
  <si>
    <t>http://www.howutrade.in</t>
  </si>
  <si>
    <t>For more free utilities visit</t>
  </si>
  <si>
    <t>For Articles on Algo Trading visit</t>
  </si>
  <si>
    <t>http://algostart.com</t>
  </si>
  <si>
    <t>ICICIBANK-EQ</t>
  </si>
  <si>
    <t>Ami Ticker Format</t>
  </si>
  <si>
    <t>NFO</t>
  </si>
  <si>
    <t>Instructions:-</t>
  </si>
  <si>
    <t>If you follow the below instructions correctly, then you can successfully feed RT Quotes to AmiBroker.</t>
  </si>
  <si>
    <t>Step1:-</t>
  </si>
  <si>
    <t>First we need to enable Macros in Excel : Do as follows</t>
  </si>
  <si>
    <t>Click on the Office Button (Top Left)</t>
  </si>
  <si>
    <t>Press Ok to close</t>
  </si>
  <si>
    <r>
      <t>Select E</t>
    </r>
    <r>
      <rPr>
        <b/>
        <sz val="11"/>
        <color rgb="FF0000FF"/>
        <rFont val="Cambria"/>
        <family val="1"/>
        <scheme val="major"/>
      </rPr>
      <t>xcel Options</t>
    </r>
  </si>
  <si>
    <r>
      <t xml:space="preserve">From Left Navigation - </t>
    </r>
    <r>
      <rPr>
        <sz val="11"/>
        <rFont val="Cambria"/>
        <family val="1"/>
        <scheme val="major"/>
      </rPr>
      <t>Select</t>
    </r>
    <r>
      <rPr>
        <b/>
        <sz val="11"/>
        <color rgb="FF0000FF"/>
        <rFont val="Cambria"/>
        <family val="1"/>
        <scheme val="major"/>
      </rPr>
      <t xml:space="preserve"> Trust Center</t>
    </r>
  </si>
  <si>
    <r>
      <t xml:space="preserve">Select </t>
    </r>
    <r>
      <rPr>
        <b/>
        <sz val="11"/>
        <color rgb="FF0000FF"/>
        <rFont val="Cambria"/>
        <family val="1"/>
        <scheme val="major"/>
      </rPr>
      <t>Trust Center Settings</t>
    </r>
  </si>
  <si>
    <r>
      <t xml:space="preserve">From Left Navigation - </t>
    </r>
    <r>
      <rPr>
        <b/>
        <sz val="11"/>
        <color rgb="FF0000FF"/>
        <rFont val="Cambria"/>
        <family val="1"/>
        <scheme val="major"/>
      </rPr>
      <t>Macro Settings</t>
    </r>
  </si>
  <si>
    <r>
      <t>Select -</t>
    </r>
    <r>
      <rPr>
        <b/>
        <sz val="11"/>
        <color rgb="FF0000FF"/>
        <rFont val="Cambria"/>
        <family val="1"/>
        <scheme val="major"/>
      </rPr>
      <t xml:space="preserve"> Enable All Macros</t>
    </r>
  </si>
  <si>
    <t>Close the Excel &amp; Re-Open to take effect of macro settings. &amp; Continue Setup</t>
  </si>
  <si>
    <t>Step2:-</t>
  </si>
  <si>
    <t>Add Required symbols in Pi Market Watch for which you require Data</t>
  </si>
  <si>
    <t>Login to Pi.</t>
  </si>
  <si>
    <t>Step3:-</t>
  </si>
  <si>
    <r>
      <t xml:space="preserve">These are all </t>
    </r>
    <r>
      <rPr>
        <b/>
        <sz val="11"/>
        <color rgb="FFFF0000"/>
        <rFont val="Cambria"/>
        <family val="1"/>
        <scheme val="major"/>
      </rPr>
      <t>One Time Setup</t>
    </r>
  </si>
  <si>
    <t>Add Required Exch &amp; Trade Symbol. Exch &amp; Trade symbol should excatly match with Pi Market Watch</t>
  </si>
  <si>
    <t>If Start DDE button is ON then you cannot add items.So Stop DDE if Running.</t>
  </si>
  <si>
    <t>Notes for Normal/Routine Use.</t>
  </si>
  <si>
    <t>Before you Open AmiBroker You should always Open this Excel File First&amp; Press Start DDE</t>
  </si>
  <si>
    <t>Whenever You need to Add New Symbol, Stop DDE if Running &amp; Add Symbol in MarketWatch Sheet</t>
  </si>
  <si>
    <t>&amp; Add then Add the Symbol In AmiBroker</t>
  </si>
  <si>
    <t>AmiBroker will request Real Time Quotes for Active Chart Tickers Only</t>
  </si>
  <si>
    <t>To Receive Quotes for All Tickers , You Should add All Tickers to Real Time Quote window in</t>
  </si>
  <si>
    <t>AmiBroker and Keep Realtime Quote window Open</t>
  </si>
  <si>
    <t>Opening Sequence</t>
  </si>
  <si>
    <t>Pi --&gt; Excel &amp; Start DDE --&gt; AmiBroker</t>
  </si>
  <si>
    <t>Closing Sequence</t>
  </si>
  <si>
    <t>AmiBroker --&gt; Stop DDE &amp; Excel --&gt; Pi</t>
  </si>
  <si>
    <t>Now DDE Started</t>
  </si>
  <si>
    <t>Step4:-</t>
  </si>
  <si>
    <t>AmiBroker Database Settings.Do Exactly as Below.</t>
  </si>
  <si>
    <t>Open AmiBroker</t>
  </si>
  <si>
    <t>File --&gt; New --&gt; Database</t>
  </si>
  <si>
    <t>Press Create Button</t>
  </si>
  <si>
    <t>Press Ok to Close Database Settings</t>
  </si>
  <si>
    <t>Now You can see Yellow Color Indication at Bottom Right corner in</t>
  </si>
  <si>
    <t>Amibroker</t>
  </si>
  <si>
    <t>We need to add a Dummy Symbol, So that AmiBroker will save DDE Settings</t>
  </si>
  <si>
    <t>Menu Bar --&gt; Symbol --&gt; New</t>
  </si>
  <si>
    <t>Now select the Added Symbol From symbol Pane.So that it become active chart</t>
  </si>
  <si>
    <t>Now Goto File--&gt;Database settings</t>
  </si>
  <si>
    <t>In Database setting --&gt; Press Confgure Button (Bottom)</t>
  </si>
  <si>
    <t>In the Configure DDE Plugin : Do as Follows</t>
  </si>
  <si>
    <t>Preset : Generic 2</t>
  </si>
  <si>
    <t>&amp;&amp; in the DDE Defintions Fields, Copy Paste the Below on all Boxes</t>
  </si>
  <si>
    <t>DDE!{ticker}_{field}</t>
  </si>
  <si>
    <t>Once done Press OK to Configure DDE Window</t>
  </si>
  <si>
    <t>Press OK to Close Database Settings</t>
  </si>
  <si>
    <t>As Soon as You Close Database Settings, The Yellow Indication will change to Green</t>
  </si>
  <si>
    <t>That means that everything correct &amp;&amp; AmiBroker is successfully Connected to Excel to Receive Quotes.</t>
  </si>
  <si>
    <t xml:space="preserve">Now its time add Tickers in AmiBroker </t>
  </si>
  <si>
    <t>You should add the Exact Ticker in AmiBroker</t>
  </si>
  <si>
    <t>For Ex:-</t>
  </si>
  <si>
    <t>TradeSymbol - ICICIBANK-EQ</t>
  </si>
  <si>
    <t>Ticker - ICICIBANKEQ</t>
  </si>
  <si>
    <t>TradeSymbol - NIFTY16NOVFUT</t>
  </si>
  <si>
    <t>Ticker - NIFTY16NOVFUT</t>
  </si>
  <si>
    <t>The Logic is AmiBroker Ticker should not have any Speacial Characters viz -  _ &amp;</t>
  </si>
  <si>
    <t>&amp;&amp; We need to add those symbols to Realtime Quote Window of AmiBroker</t>
  </si>
  <si>
    <t>This Completes AmiBroker Setup.</t>
  </si>
  <si>
    <t>Now You can Feed Reat Time Quotes from Pi Market Watch to AmiBroker.</t>
  </si>
  <si>
    <t>We have wriiten a very simple &amp; easy to understand steps.</t>
  </si>
  <si>
    <t>Please GoTo the Next Page for Instructions for Routine use.</t>
  </si>
  <si>
    <t>Regards,</t>
  </si>
  <si>
    <r>
      <t xml:space="preserve">Now Goto Excel Sheet </t>
    </r>
    <r>
      <rPr>
        <b/>
        <sz val="11"/>
        <color rgb="FF0000FF"/>
        <rFont val="Cambria"/>
        <family val="1"/>
        <scheme val="major"/>
      </rPr>
      <t>'MarketWatch'</t>
    </r>
  </si>
  <si>
    <r>
      <t xml:space="preserve">For Example :- </t>
    </r>
    <r>
      <rPr>
        <b/>
        <sz val="11"/>
        <color rgb="FF0000FF"/>
        <rFont val="Cambria"/>
        <family val="1"/>
        <scheme val="major"/>
      </rPr>
      <t>NSE  ICICIBANK-EQ    NFO  NIFTY16NOVFUT  MCX SILVERM16NOVFUT</t>
    </r>
  </si>
  <si>
    <r>
      <t xml:space="preserve">Once You added all Required Symbols, </t>
    </r>
    <r>
      <rPr>
        <b/>
        <sz val="11"/>
        <color rgb="FF0000FF"/>
        <rFont val="Cambria"/>
        <family val="1"/>
        <scheme val="major"/>
      </rPr>
      <t>Press Start DDE button</t>
    </r>
  </si>
  <si>
    <r>
      <t>Now Give Your Database a Name. Ex:-</t>
    </r>
    <r>
      <rPr>
        <b/>
        <sz val="11"/>
        <color rgb="FF0000FF"/>
        <rFont val="Cambria"/>
        <family val="1"/>
        <scheme val="major"/>
      </rPr>
      <t xml:space="preserve"> PiRTD</t>
    </r>
  </si>
  <si>
    <r>
      <t xml:space="preserve">Datasource : Select </t>
    </r>
    <r>
      <rPr>
        <b/>
        <sz val="11"/>
        <color rgb="FF0000FF"/>
        <rFont val="Cambria"/>
        <family val="1"/>
        <scheme val="major"/>
      </rPr>
      <t>DDE Universal Plugin</t>
    </r>
    <r>
      <rPr>
        <sz val="11"/>
        <rFont val="Cambria"/>
        <family val="1"/>
        <scheme val="major"/>
      </rPr>
      <t xml:space="preserve"> From Dropdown</t>
    </r>
  </si>
  <si>
    <r>
      <t>Number of Bars :</t>
    </r>
    <r>
      <rPr>
        <b/>
        <sz val="11"/>
        <color rgb="FF0000FF"/>
        <rFont val="Cambria"/>
        <family val="1"/>
        <scheme val="major"/>
      </rPr>
      <t xml:space="preserve"> 50000</t>
    </r>
  </si>
  <si>
    <r>
      <t xml:space="preserve">Base Time Interval : </t>
    </r>
    <r>
      <rPr>
        <b/>
        <sz val="11"/>
        <color rgb="FF0000FF"/>
        <rFont val="Cambria"/>
        <family val="1"/>
        <scheme val="major"/>
      </rPr>
      <t>1 minute</t>
    </r>
  </si>
  <si>
    <r>
      <t xml:space="preserve">Add </t>
    </r>
    <r>
      <rPr>
        <b/>
        <sz val="11"/>
        <color rgb="FF0000FF"/>
        <rFont val="Cambria"/>
        <family val="1"/>
        <scheme val="major"/>
      </rPr>
      <t>'SAMPLETICKER"</t>
    </r>
  </si>
  <si>
    <r>
      <t xml:space="preserve">DDE Server Name : </t>
    </r>
    <r>
      <rPr>
        <b/>
        <sz val="11"/>
        <color rgb="FF0000FF"/>
        <rFont val="Cambria"/>
        <family val="1"/>
        <scheme val="major"/>
      </rPr>
      <t>EXCEL</t>
    </r>
  </si>
  <si>
    <r>
      <t>Trade symbol &amp; Its equivalent AmiBroker Ticker Format is available in DDE worksheet.</t>
    </r>
    <r>
      <rPr>
        <b/>
        <sz val="11"/>
        <color rgb="FF0000FF"/>
        <rFont val="Cambria"/>
        <family val="1"/>
        <scheme val="major"/>
      </rPr>
      <t>(Coulum N)</t>
    </r>
  </si>
  <si>
    <t>NIFTY16NOVFUT</t>
  </si>
  <si>
    <t>MCX</t>
  </si>
  <si>
    <t>SILVERM16NOVFUT</t>
  </si>
  <si>
    <t>http://algostart.com/</t>
  </si>
  <si>
    <t>YESBANK-EQ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</si>
</sst>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u/>
      <sz val="11"/>
      <color theme="10"/>
      <name val="Calibri"/>
      <family val="2"/>
    </font>
    <font>
      <b/>
      <sz val="11"/>
      <color rgb="FFFF0000"/>
      <name val="Cambria"/>
      <family val="1"/>
      <scheme val="major"/>
    </font>
    <font>
      <b/>
      <sz val="11"/>
      <color rgb="FF0000FF"/>
      <name val="Cambria"/>
      <family val="1"/>
      <scheme val="major"/>
    </font>
    <font>
      <sz val="11"/>
      <name val="Cambria"/>
      <family val="1"/>
      <scheme val="major"/>
    </font>
    <font>
      <sz val="11"/>
      <color rgb="FF0000FF"/>
      <name val="Cambria"/>
      <family val="1"/>
      <scheme val="major"/>
    </font>
    <font>
      <b/>
      <u/>
      <sz val="11"/>
      <color rgb="FFFF0000"/>
      <name val="Cambria"/>
      <family val="1"/>
      <scheme val="major"/>
    </font>
    <font>
      <sz val="11"/>
      <color rgb="FF800000"/>
      <name val="Cambria"/>
      <family val="1"/>
      <scheme val="major"/>
    </font>
    <font>
      <sz val="11"/>
      <color rgb="FF003300"/>
      <name val="Cambria"/>
      <family val="1"/>
      <scheme val="major"/>
    </font>
    <font>
      <sz val="11"/>
      <color rgb="FFFF0000"/>
      <name val="Cambria"/>
      <family val="1"/>
      <scheme val="major"/>
    </font>
    <font>
      <b/>
      <u/>
      <sz val="11"/>
      <color theme="1" tint="4.9989318521683403E-2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1" fillId="0" borderId="1" xfId="0" applyFont="1" applyBorder="1"/>
    <xf numFmtId="0" fontId="2" fillId="0" borderId="0" xfId="1" applyAlignment="1" applyProtection="1"/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0" xfId="0" applyFont="1" applyBorder="1"/>
    <xf numFmtId="0" fontId="3" fillId="0" borderId="0" xfId="0" applyFont="1"/>
    <xf numFmtId="0" fontId="7" fillId="0" borderId="2" xfId="0" applyFont="1" applyBorder="1"/>
    <xf numFmtId="0" fontId="1" fillId="0" borderId="2" xfId="0" applyFont="1" applyBorder="1"/>
    <xf numFmtId="0" fontId="6" fillId="0" borderId="2" xfId="0" applyFont="1" applyBorder="1"/>
    <xf numFmtId="0" fontId="8" fillId="0" borderId="2" xfId="0" applyFont="1" applyBorder="1"/>
    <xf numFmtId="0" fontId="9" fillId="0" borderId="2" xfId="0" applyFont="1" applyBorder="1"/>
    <xf numFmtId="0" fontId="10" fillId="0" borderId="2" xfId="0" applyFont="1" applyBorder="1"/>
    <xf numFmtId="0" fontId="11" fillId="0" borderId="2" xfId="0" applyFont="1" applyFill="1" applyBorder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00FF"/>
      <color rgb="FF0033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i.rtdserver">
      <tp t="e">
        <v>#N/A</v>
        <stp/>
        <stp>NSE_YESBANK-EQ</stp>
        <stp>Ask</stp>
        <tr r="G5" s="3"/>
      </tp>
      <tp t="e">
        <v>#N/A</v>
        <stp/>
        <stp>NSE_YESBANK-EQ</stp>
        <stp>Bid</stp>
        <tr r="E5" s="3"/>
      </tp>
      <tp t="e">
        <v>#N/A</v>
        <stp/>
        <stp>NSE_YESBANK-EQ</stp>
        <stp>Low</stp>
        <tr r="K5" s="3"/>
      </tp>
      <tp t="e">
        <v>#N/A</v>
        <stp/>
        <stp>NSE_YESBANK-EQ</stp>
        <stp>LTQ</stp>
        <tr r="D5" s="3"/>
      </tp>
      <tp t="e">
        <v>#N/A</v>
        <stp/>
        <stp>NFO_NIFTY16NOVFUT</stp>
        <stp>Open</stp>
        <tr r="I3" s="3"/>
      </tp>
      <tp t="e">
        <v>#N/A</v>
        <stp/>
        <stp>NSE_ICICIBANK-EQ</stp>
        <stp>Open</stp>
        <tr r="I2" s="3"/>
      </tp>
      <tp t="e">
        <v>#N/A</v>
        <stp/>
        <stp>NFO_NIFTY16NOVFUT</stp>
        <stp>High</stp>
        <tr r="J3" s="3"/>
      </tp>
      <tp t="e">
        <v>#N/A</v>
        <stp/>
        <stp>NSE_ICICIBANK-EQ</stp>
        <stp>High</stp>
        <tr r="J2" s="3"/>
      </tp>
      <tp t="e">
        <v>#N/A</v>
        <stp/>
        <stp>NFO_NIFTY16NOVFUT</stp>
        <stp>Last</stp>
        <tr r="C3" s="3"/>
      </tp>
      <tp t="e">
        <v>#N/A</v>
        <stp/>
        <stp>NSE_ICICIBANK-EQ</stp>
        <stp>Last</stp>
        <tr r="C2" s="3"/>
      </tp>
      <tp t="e">
        <v>#N/A</v>
        <stp/>
        <stp>NFO_NIFTY16NOVFUT</stp>
        <stp>BidSize</stp>
        <tr r="F3" s="3"/>
      </tp>
      <tp t="e">
        <v>#N/A</v>
        <stp/>
        <stp>NFO_NIFTY16NOVFUT</stp>
        <stp>AskSize</stp>
        <tr r="H3" s="3"/>
      </tp>
      <tp t="e">
        <v>#N/A</v>
        <stp/>
        <stp>MCX_SILVERM16NOVFUT</stp>
        <stp>BidSize</stp>
        <tr r="F4" s="3"/>
      </tp>
      <tp t="e">
        <v>#N/A</v>
        <stp/>
        <stp>MCX_SILVERM16NOVFUT</stp>
        <stp>AskSize</stp>
        <tr r="H4" s="3"/>
      </tp>
      <tp t="e">
        <v>#N/A</v>
        <stp/>
        <stp>NSE_ICICIBANK-EQ</stp>
        <stp>BidSize</stp>
        <tr r="F2" s="3"/>
      </tp>
      <tp t="e">
        <v>#N/A</v>
        <stp/>
        <stp>NSE_ICICIBANK-EQ</stp>
        <stp>AskSize</stp>
        <tr r="H2" s="3"/>
      </tp>
      <tp t="e">
        <v>#N/A</v>
        <stp/>
        <stp>NSE_YESBANK-EQ</stp>
        <stp>High</stp>
        <tr r="J5" s="3"/>
      </tp>
      <tp t="e">
        <v>#N/A</v>
        <stp/>
        <stp>NFO_NIFTY16NOVFUT</stp>
        <stp>Low</stp>
        <tr r="K3" s="3"/>
      </tp>
      <tp t="e">
        <v>#N/A</v>
        <stp/>
        <stp>NFO_NIFTY16NOVFUT</stp>
        <stp>LTQ</stp>
        <tr r="D3" s="3"/>
      </tp>
      <tp t="e">
        <v>#N/A</v>
        <stp/>
        <stp>MCX_SILVERM16NOVFUT</stp>
        <stp>High</stp>
        <tr r="J4" s="3"/>
      </tp>
      <tp t="e">
        <v>#N/A</v>
        <stp/>
        <stp>NSE_YESBANK-EQ</stp>
        <stp>Last</stp>
        <tr r="C5" s="3"/>
      </tp>
      <tp t="e">
        <v>#N/A</v>
        <stp/>
        <stp>MCX_SILVERM16NOVFUT</stp>
        <stp>Last</stp>
        <tr r="C4" s="3"/>
      </tp>
      <tp t="e">
        <v>#N/A</v>
        <stp/>
        <stp>NFO_NIFTY16NOVFUT</stp>
        <stp>Bid</stp>
        <tr r="E3" s="3"/>
      </tp>
      <tp t="e">
        <v>#N/A</v>
        <stp/>
        <stp>NFO_NIFTY16NOVFUT</stp>
        <stp>Ask</stp>
        <tr r="G3" s="3"/>
      </tp>
      <tp t="e">
        <v>#N/A</v>
        <stp/>
        <stp>NSE_ICICIBANK-EQ</stp>
        <stp>Volume</stp>
        <tr r="L2" s="3"/>
      </tp>
      <tp t="e">
        <v>#N/A</v>
        <stp/>
        <stp>MCX_SILVERM16NOVFUT</stp>
        <stp>Bid</stp>
        <tr r="E4" s="3"/>
      </tp>
      <tp t="e">
        <v>#N/A</v>
        <stp/>
        <stp>MCX_SILVERM16NOVFUT</stp>
        <stp>Ask</stp>
        <tr r="G4" s="3"/>
      </tp>
      <tp t="e">
        <v>#N/A</v>
        <stp/>
        <stp>NSE_ICICIBANK-EQ</stp>
        <stp>Bid</stp>
        <tr r="E2" s="3"/>
      </tp>
      <tp t="e">
        <v>#N/A</v>
        <stp/>
        <stp>NSE_ICICIBANK-EQ</stp>
        <stp>Ask</stp>
        <tr r="G2" s="3"/>
      </tp>
      <tp t="e">
        <v>#N/A</v>
        <stp/>
        <stp>NSE_YESBANK-EQ</stp>
        <stp>Volume</stp>
        <tr r="L5" s="3"/>
      </tp>
      <tp t="e">
        <v>#N/A</v>
        <stp/>
        <stp>NSE_ICICIBANK-EQ</stp>
        <stp>Low</stp>
        <tr r="K2" s="3"/>
      </tp>
      <tp t="e">
        <v>#N/A</v>
        <stp/>
        <stp>NSE_ICICIBANK-EQ</stp>
        <stp>LTQ</stp>
        <tr r="D2" s="3"/>
      </tp>
      <tp t="e">
        <v>#N/A</v>
        <stp/>
        <stp>MCX_SILVERM16NOVFUT</stp>
        <stp>Open</stp>
        <tr r="I4" s="3"/>
      </tp>
      <tp t="e">
        <v>#N/A</v>
        <stp/>
        <stp>NSE_YESBANK-EQ</stp>
        <stp>Open</stp>
        <tr r="I5" s="3"/>
      </tp>
      <tp t="e">
        <v>#N/A</v>
        <stp/>
        <stp>MCX_SILVERM16NOVFUT</stp>
        <stp>Low</stp>
        <tr r="K4" s="3"/>
      </tp>
      <tp t="e">
        <v>#N/A</v>
        <stp/>
        <stp>MCX_SILVERM16NOVFUT</stp>
        <stp>LTQ</stp>
        <tr r="D4" s="3"/>
      </tp>
      <tp t="e">
        <v>#N/A</v>
        <stp/>
        <stp>NSE_YESBANK-EQ</stp>
        <stp>AskSize</stp>
        <tr r="H5" s="3"/>
      </tp>
      <tp t="e">
        <v>#N/A</v>
        <stp/>
        <stp>NSE_YESBANK-EQ</stp>
        <stp>BidSize</stp>
        <tr r="F5" s="3"/>
      </tp>
      <tp t="e">
        <v>#N/A</v>
        <stp/>
        <stp>NFO_NIFTY16NOVFUT</stp>
        <stp>Volume</stp>
        <tr r="L3" s="3"/>
      </tp>
      <tp t="e">
        <v>#N/A</v>
        <stp/>
        <stp>MCX_SILVERM16NOVFUT</stp>
        <stp>Volume</stp>
        <tr r="L4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</xdr:row>
          <xdr:rowOff>76200</xdr:rowOff>
        </xdr:from>
        <xdr:to>
          <xdr:col>2</xdr:col>
          <xdr:colOff>1476375</xdr:colOff>
          <xdr:row>6</xdr:row>
          <xdr:rowOff>85725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39</xdr:row>
      <xdr:rowOff>114300</xdr:rowOff>
    </xdr:from>
    <xdr:to>
      <xdr:col>0</xdr:col>
      <xdr:colOff>4334400</xdr:colOff>
      <xdr:row>61</xdr:row>
      <xdr:rowOff>172014</xdr:rowOff>
    </xdr:to>
    <xdr:pic>
      <xdr:nvPicPr>
        <xdr:cNvPr id="2" name="Picture 1" descr="Untitled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0" y="7172325"/>
          <a:ext cx="3762900" cy="4039164"/>
        </a:xfrm>
        <a:prstGeom prst="rect">
          <a:avLst/>
        </a:prstGeom>
        <a:ln w="19050">
          <a:solidFill>
            <a:srgbClr val="0000FF"/>
          </a:solidFill>
        </a:ln>
      </xdr:spPr>
    </xdr:pic>
    <xdr:clientData/>
  </xdr:twoCellAnchor>
  <xdr:twoCellAnchor editAs="oneCell">
    <xdr:from>
      <xdr:col>0</xdr:col>
      <xdr:colOff>171450</xdr:colOff>
      <xdr:row>67</xdr:row>
      <xdr:rowOff>85725</xdr:rowOff>
    </xdr:from>
    <xdr:to>
      <xdr:col>0</xdr:col>
      <xdr:colOff>6125406</xdr:colOff>
      <xdr:row>96</xdr:row>
      <xdr:rowOff>38826</xdr:rowOff>
    </xdr:to>
    <xdr:pic>
      <xdr:nvPicPr>
        <xdr:cNvPr id="3" name="Picture 2" descr="Untitled.p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1450" y="12211050"/>
          <a:ext cx="5953956" cy="5201376"/>
        </a:xfrm>
        <a:prstGeom prst="rect">
          <a:avLst/>
        </a:prstGeom>
        <a:ln w="19050">
          <a:solidFill>
            <a:srgbClr val="0000FF"/>
          </a:solidFill>
        </a:ln>
      </xdr:spPr>
    </xdr:pic>
    <xdr:clientData/>
  </xdr:twoCellAnchor>
  <xdr:twoCellAnchor editAs="oneCell">
    <xdr:from>
      <xdr:col>0</xdr:col>
      <xdr:colOff>1104900</xdr:colOff>
      <xdr:row>99</xdr:row>
      <xdr:rowOff>133350</xdr:rowOff>
    </xdr:from>
    <xdr:to>
      <xdr:col>0</xdr:col>
      <xdr:colOff>3143535</xdr:colOff>
      <xdr:row>125</xdr:row>
      <xdr:rowOff>162586</xdr:rowOff>
    </xdr:to>
    <xdr:pic>
      <xdr:nvPicPr>
        <xdr:cNvPr id="4" name="Picture 3" descr="Untitled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04900" y="18049875"/>
          <a:ext cx="2038635" cy="4734586"/>
        </a:xfrm>
        <a:prstGeom prst="rect">
          <a:avLst/>
        </a:prstGeom>
        <a:ln w="19050">
          <a:solidFill>
            <a:srgbClr val="0000FF"/>
          </a:solidFill>
        </a:ln>
      </xdr:spPr>
    </xdr:pic>
    <xdr:clientData/>
  </xdr:twoCellAnchor>
  <xdr:twoCellAnchor editAs="oneCell">
    <xdr:from>
      <xdr:col>0</xdr:col>
      <xdr:colOff>714375</xdr:colOff>
      <xdr:row>142</xdr:row>
      <xdr:rowOff>19050</xdr:rowOff>
    </xdr:from>
    <xdr:to>
      <xdr:col>0</xdr:col>
      <xdr:colOff>5772856</xdr:colOff>
      <xdr:row>169</xdr:row>
      <xdr:rowOff>153101</xdr:rowOff>
    </xdr:to>
    <xdr:pic>
      <xdr:nvPicPr>
        <xdr:cNvPr id="5" name="Picture 4" descr="Untitled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14375" y="25717500"/>
          <a:ext cx="5058481" cy="5020376"/>
        </a:xfrm>
        <a:prstGeom prst="rect">
          <a:avLst/>
        </a:prstGeom>
        <a:ln w="19050">
          <a:solidFill>
            <a:srgbClr val="0000FF"/>
          </a:solidFill>
        </a:ln>
      </xdr:spPr>
    </xdr:pic>
    <xdr:clientData/>
  </xdr:twoCellAnchor>
  <xdr:twoCellAnchor editAs="oneCell">
    <xdr:from>
      <xdr:col>0</xdr:col>
      <xdr:colOff>238125</xdr:colOff>
      <xdr:row>171</xdr:row>
      <xdr:rowOff>0</xdr:rowOff>
    </xdr:from>
    <xdr:to>
      <xdr:col>0</xdr:col>
      <xdr:colOff>6173029</xdr:colOff>
      <xdr:row>209</xdr:row>
      <xdr:rowOff>29539</xdr:rowOff>
    </xdr:to>
    <xdr:pic>
      <xdr:nvPicPr>
        <xdr:cNvPr id="6" name="Picture 5" descr="Untitled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38125" y="30946725"/>
          <a:ext cx="5934904" cy="6906589"/>
        </a:xfrm>
        <a:prstGeom prst="rect">
          <a:avLst/>
        </a:prstGeom>
        <a:ln w="19050">
          <a:solidFill>
            <a:srgbClr val="0000FF"/>
          </a:solidFill>
        </a:ln>
      </xdr:spPr>
    </xdr:pic>
    <xdr:clientData/>
  </xdr:twoCellAnchor>
  <xdr:twoCellAnchor editAs="oneCell">
    <xdr:from>
      <xdr:col>0</xdr:col>
      <xdr:colOff>28575</xdr:colOff>
      <xdr:row>225</xdr:row>
      <xdr:rowOff>95250</xdr:rowOff>
    </xdr:from>
    <xdr:to>
      <xdr:col>0</xdr:col>
      <xdr:colOff>6324600</xdr:colOff>
      <xdr:row>261</xdr:row>
      <xdr:rowOff>58114</xdr:rowOff>
    </xdr:to>
    <xdr:pic>
      <xdr:nvPicPr>
        <xdr:cNvPr id="7" name="Picture 6" descr="Untitled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8575" y="40814625"/>
          <a:ext cx="6296025" cy="6477964"/>
        </a:xfrm>
        <a:prstGeom prst="rect">
          <a:avLst/>
        </a:prstGeom>
        <a:ln w="19050">
          <a:solidFill>
            <a:srgbClr val="0000FF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algostart.com/" TargetMode="External"/><Relationship Id="rId1" Type="http://schemas.openxmlformats.org/officeDocument/2006/relationships/hyperlink" Target="http://www.howutrade.in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gostar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1"/>
  <sheetViews>
    <sheetView showGridLines="0" tabSelected="1" workbookViewId="0">
      <selection activeCell="B5" sqref="B5"/>
    </sheetView>
  </sheetViews>
  <sheetFormatPr defaultColWidth="0" defaultRowHeight="14.25" zeroHeight="1" x14ac:dyDescent="0.25"/>
  <cols>
    <col min="1" max="1" width="9.140625" style="2" customWidth="1"/>
    <col min="2" max="2" width="24.28515625" style="2" customWidth="1"/>
    <col min="3" max="3" width="26.140625" style="2" customWidth="1"/>
    <col min="4" max="16384" width="9.140625" style="2" hidden="1"/>
  </cols>
  <sheetData>
    <row r="1" spans="1:2" x14ac:dyDescent="0.25">
      <c r="A1" s="5" t="s">
        <v>10</v>
      </c>
      <c r="B1" s="5" t="s">
        <v>11</v>
      </c>
    </row>
    <row r="2" spans="1:2" x14ac:dyDescent="0.25">
      <c r="A2" s="6" t="s">
        <v>12</v>
      </c>
      <c r="B2" s="6" t="s">
        <v>17</v>
      </c>
    </row>
    <row r="3" spans="1:2" x14ac:dyDescent="0.25">
      <c r="A3" s="6" t="s">
        <v>19</v>
      </c>
      <c r="B3" s="6" t="s">
        <v>96</v>
      </c>
    </row>
    <row r="4" spans="1:2" x14ac:dyDescent="0.25">
      <c r="A4" s="6" t="s">
        <v>97</v>
      </c>
      <c r="B4" s="6" t="s">
        <v>98</v>
      </c>
    </row>
    <row r="5" spans="1:2" x14ac:dyDescent="0.25">
      <c r="A5" s="6" t="s">
        <v>12</v>
      </c>
      <c r="B5" s="6" t="s">
        <v>100</v>
      </c>
    </row>
    <row r="6" spans="1:2" x14ac:dyDescent="0.25">
      <c r="A6" s="6"/>
      <c r="B6" s="6"/>
    </row>
    <row r="7" spans="1:2" x14ac:dyDescent="0.25">
      <c r="A7" s="6"/>
      <c r="B7" s="6"/>
    </row>
    <row r="8" spans="1:2" x14ac:dyDescent="0.25">
      <c r="A8" s="6"/>
      <c r="B8" s="6"/>
    </row>
    <row r="9" spans="1:2" x14ac:dyDescent="0.25">
      <c r="A9" s="6"/>
      <c r="B9" s="6"/>
    </row>
    <row r="10" spans="1:2" x14ac:dyDescent="0.25">
      <c r="A10" s="6"/>
      <c r="B10" s="6"/>
    </row>
    <row r="11" spans="1:2" x14ac:dyDescent="0.25">
      <c r="A11" s="6"/>
      <c r="B11" s="6"/>
    </row>
    <row r="12" spans="1:2" x14ac:dyDescent="0.25">
      <c r="A12" s="6"/>
      <c r="B12" s="6"/>
    </row>
    <row r="13" spans="1:2" x14ac:dyDescent="0.25">
      <c r="A13" s="6"/>
      <c r="B13" s="6"/>
    </row>
    <row r="14" spans="1:2" x14ac:dyDescent="0.25">
      <c r="A14" s="6"/>
      <c r="B14" s="6"/>
    </row>
    <row r="15" spans="1:2" x14ac:dyDescent="0.25">
      <c r="A15" s="6"/>
      <c r="B15" s="6"/>
    </row>
    <row r="16" spans="1:2" x14ac:dyDescent="0.25">
      <c r="A16" s="6"/>
      <c r="B16" s="6"/>
    </row>
    <row r="17" spans="1:2" x14ac:dyDescent="0.25">
      <c r="A17" s="6"/>
      <c r="B17" s="6"/>
    </row>
    <row r="18" spans="1:2" x14ac:dyDescent="0.25">
      <c r="A18" s="6"/>
      <c r="B18" s="6"/>
    </row>
    <row r="19" spans="1:2" x14ac:dyDescent="0.25">
      <c r="A19" s="6"/>
      <c r="B19" s="6"/>
    </row>
    <row r="20" spans="1:2" x14ac:dyDescent="0.25">
      <c r="A20" s="6"/>
      <c r="B20" s="6"/>
    </row>
    <row r="21" spans="1:2" x14ac:dyDescent="0.25">
      <c r="A21" s="6"/>
      <c r="B21" s="6"/>
    </row>
    <row r="22" spans="1:2" x14ac:dyDescent="0.25">
      <c r="A22" s="6"/>
      <c r="B22" s="6"/>
    </row>
    <row r="23" spans="1:2" x14ac:dyDescent="0.25">
      <c r="A23" s="6"/>
      <c r="B23" s="6"/>
    </row>
    <row r="24" spans="1:2" x14ac:dyDescent="0.25">
      <c r="A24" s="6"/>
      <c r="B24" s="6"/>
    </row>
    <row r="25" spans="1:2" x14ac:dyDescent="0.25">
      <c r="A25" s="6"/>
      <c r="B25" s="6"/>
    </row>
    <row r="26" spans="1:2" x14ac:dyDescent="0.25">
      <c r="A26" s="6"/>
      <c r="B26" s="6"/>
    </row>
    <row r="27" spans="1:2" x14ac:dyDescent="0.25">
      <c r="A27" s="6"/>
      <c r="B27" s="6"/>
    </row>
    <row r="28" spans="1:2" x14ac:dyDescent="0.25">
      <c r="A28" s="6"/>
      <c r="B28" s="6"/>
    </row>
    <row r="29" spans="1:2" x14ac:dyDescent="0.25">
      <c r="A29" s="6"/>
      <c r="B29" s="6"/>
    </row>
    <row r="30" spans="1:2" x14ac:dyDescent="0.25">
      <c r="A30" s="6"/>
      <c r="B30" s="6"/>
    </row>
    <row r="31" spans="1:2" x14ac:dyDescent="0.25">
      <c r="A31" s="6"/>
      <c r="B31" s="6"/>
    </row>
    <row r="32" spans="1:2" x14ac:dyDescent="0.25">
      <c r="A32" s="6"/>
      <c r="B32" s="6"/>
    </row>
    <row r="33" spans="1:2" x14ac:dyDescent="0.25">
      <c r="A33" s="6"/>
      <c r="B33" s="6"/>
    </row>
    <row r="34" spans="1:2" x14ac:dyDescent="0.25">
      <c r="A34" s="6"/>
      <c r="B34" s="6"/>
    </row>
    <row r="35" spans="1:2" x14ac:dyDescent="0.25">
      <c r="A35" s="6"/>
      <c r="B35" s="6"/>
    </row>
    <row r="36" spans="1:2" x14ac:dyDescent="0.25">
      <c r="A36" s="6"/>
      <c r="B36" s="6"/>
    </row>
    <row r="37" spans="1:2" x14ac:dyDescent="0.25">
      <c r="A37" s="6"/>
      <c r="B37" s="6"/>
    </row>
    <row r="38" spans="1:2" x14ac:dyDescent="0.25">
      <c r="A38" s="6"/>
      <c r="B38" s="6"/>
    </row>
    <row r="39" spans="1:2" x14ac:dyDescent="0.25">
      <c r="A39" s="6"/>
      <c r="B39" s="6"/>
    </row>
    <row r="40" spans="1:2" x14ac:dyDescent="0.25">
      <c r="A40" s="6"/>
      <c r="B40" s="6"/>
    </row>
    <row r="41" spans="1:2" x14ac:dyDescent="0.25">
      <c r="A41" s="6"/>
      <c r="B41" s="6"/>
    </row>
    <row r="42" spans="1:2" x14ac:dyDescent="0.25">
      <c r="A42" s="6"/>
      <c r="B42" s="6"/>
    </row>
    <row r="43" spans="1:2" x14ac:dyDescent="0.25">
      <c r="A43" s="6"/>
      <c r="B43" s="6"/>
    </row>
    <row r="44" spans="1:2" x14ac:dyDescent="0.25">
      <c r="A44" s="6"/>
      <c r="B44" s="6"/>
    </row>
    <row r="45" spans="1:2" x14ac:dyDescent="0.25">
      <c r="A45" s="6"/>
      <c r="B45" s="6"/>
    </row>
    <row r="46" spans="1:2" x14ac:dyDescent="0.25">
      <c r="A46" s="6"/>
      <c r="B46" s="6"/>
    </row>
    <row r="47" spans="1:2" x14ac:dyDescent="0.25">
      <c r="A47" s="6"/>
      <c r="B47" s="6"/>
    </row>
    <row r="48" spans="1:2" x14ac:dyDescent="0.25">
      <c r="A48" s="6"/>
      <c r="B48" s="6"/>
    </row>
    <row r="49" spans="1:2" x14ac:dyDescent="0.25">
      <c r="A49" s="6"/>
      <c r="B49" s="6"/>
    </row>
    <row r="50" spans="1:2" x14ac:dyDescent="0.25">
      <c r="A50" s="6"/>
      <c r="B50" s="6"/>
    </row>
    <row r="51" spans="1:2" x14ac:dyDescent="0.25">
      <c r="A51" s="6"/>
      <c r="B51" s="6"/>
    </row>
  </sheetData>
  <dataValidations count="1">
    <dataValidation type="list" allowBlank="1" showInputMessage="1" showErrorMessage="1" errorTitle="Wrong Input" error="Select From the Dropdown...!" sqref="A2:A51" xr:uid="{00000000-0002-0000-0000-000000000000}">
      <formula1>"NSE,NFO,MCX,BSE,BFO,CDS"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locked="0" defaultSize="0" autoLine="0" r:id="rId5">
            <anchor moveWithCells="1">
              <from>
                <xdr:col>2</xdr:col>
                <xdr:colOff>333375</xdr:colOff>
                <xdr:row>3</xdr:row>
                <xdr:rowOff>76200</xdr:rowOff>
              </from>
              <to>
                <xdr:col>2</xdr:col>
                <xdr:colOff>1476375</xdr:colOff>
                <xdr:row>6</xdr:row>
                <xdr:rowOff>85725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S51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5" sqref="N5"/>
    </sheetView>
  </sheetViews>
  <sheetFormatPr defaultColWidth="0" defaultRowHeight="15" zeroHeight="1" x14ac:dyDescent="0.25"/>
  <cols>
    <col min="1" max="1" width="9.140625" style="1" customWidth="1"/>
    <col min="2" max="2" width="16.7109375" style="1" customWidth="1"/>
    <col min="3" max="12" width="9.140625" style="1" customWidth="1"/>
    <col min="13" max="13" width="2.85546875" style="1" customWidth="1"/>
    <col min="14" max="14" width="20.85546875" style="1" customWidth="1"/>
    <col min="15" max="16" width="9.140625" style="1" customWidth="1"/>
    <col min="17" max="18" width="9.140625" customWidth="1"/>
    <col min="19" max="19" width="9.140625" style="1" customWidth="1"/>
    <col min="20" max="16384" width="9.140625" style="1" hidden="1"/>
  </cols>
  <sheetData>
    <row r="1" spans="1:16" x14ac:dyDescent="0.25">
      <c r="A1" s="3" t="s">
        <v>10</v>
      </c>
      <c r="B1" s="3" t="s">
        <v>11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7"/>
      <c r="N1" s="3" t="s">
        <v>18</v>
      </c>
    </row>
    <row r="2" spans="1:16" x14ac:dyDescent="0.25">
      <c r="A2" s="3" t="str">
        <f>IF(AND(MarketWatch!A2&lt;&gt;"",MarketWatch!B2&lt;&gt;""),MarketWatch!A2,"")</f>
        <v>NSE</v>
      </c>
      <c r="B2" s="3" t="str">
        <f>IF(A2="","",UPPER(MarketWatch!B2))</f>
        <v>ICICIBANK-EQ</v>
      </c>
      <c r="C2" s="3">
        <f t="shared" ref="C2:C3" si="0">GetRTD(A2,B2,"Last")</f>
        <v>0</v>
      </c>
      <c r="D2" s="3">
        <f t="shared" ref="D2:D3" si="1">GetRTD(A2,B2,"LTQ")</f>
        <v>0</v>
      </c>
      <c r="E2" s="3">
        <f t="shared" ref="E2:E3" si="2">GetRTD(A2,B2,"Bid")</f>
        <v>0</v>
      </c>
      <c r="F2" s="3">
        <f t="shared" ref="F2:F3" si="3">GetRTD(A2,B2,"BidSize")</f>
        <v>0</v>
      </c>
      <c r="G2" s="3">
        <f t="shared" ref="G2:G3" si="4">GetRTD(A2,B2,"Ask")</f>
        <v>0</v>
      </c>
      <c r="H2" s="3">
        <f t="shared" ref="H2:H3" si="5">GetRTD(A2,B2,"AskSize")</f>
        <v>0</v>
      </c>
      <c r="I2" s="3">
        <f t="shared" ref="I2:I3" si="6">GetRTD(A2,B2,"Open")</f>
        <v>0</v>
      </c>
      <c r="J2" s="3">
        <f t="shared" ref="J2:J3" si="7">GetRTD(A2,B2,"High")</f>
        <v>0</v>
      </c>
      <c r="K2" s="3">
        <f t="shared" ref="K2:K3" si="8">GetRTD(A2,B2,"Low")</f>
        <v>0</v>
      </c>
      <c r="L2" s="3">
        <f t="shared" ref="L2:L3" si="9">GetRTD(A2,B2,"Volume")</f>
        <v>0</v>
      </c>
      <c r="M2" s="7"/>
      <c r="N2" s="3" t="str">
        <f>IF(A2="","",RemoveSpecial(B2))</f>
        <v>ICICIBANKEQ</v>
      </c>
    </row>
    <row r="3" spans="1:16" x14ac:dyDescent="0.25">
      <c r="A3" s="3" t="str">
        <f>IF(AND(MarketWatch!A3&lt;&gt;"",MarketWatch!B3&lt;&gt;""),MarketWatch!A3,"")</f>
        <v>NFO</v>
      </c>
      <c r="B3" s="3" t="str">
        <f>IF(A3="","",UPPER(MarketWatch!B3))</f>
        <v>NIFTY16NOVFUT</v>
      </c>
      <c r="C3" s="3">
        <f t="shared" si="0"/>
        <v>0</v>
      </c>
      <c r="D3" s="3">
        <f t="shared" si="1"/>
        <v>0</v>
      </c>
      <c r="E3" s="3">
        <f t="shared" si="2"/>
        <v>0</v>
      </c>
      <c r="F3" s="3">
        <f t="shared" si="3"/>
        <v>0</v>
      </c>
      <c r="G3" s="3">
        <f t="shared" si="4"/>
        <v>0</v>
      </c>
      <c r="H3" s="3">
        <f t="shared" si="5"/>
        <v>0</v>
      </c>
      <c r="I3" s="3">
        <f t="shared" si="6"/>
        <v>0</v>
      </c>
      <c r="J3" s="3">
        <f t="shared" si="7"/>
        <v>0</v>
      </c>
      <c r="K3" s="3">
        <f t="shared" si="8"/>
        <v>0</v>
      </c>
      <c r="L3" s="3">
        <f t="shared" si="9"/>
        <v>0</v>
      </c>
      <c r="M3" s="7"/>
      <c r="N3" s="3" t="str">
        <f t="shared" ref="N3:N51" si="10">IF(A3="","",RemoveSpecial(B3))</f>
        <v>NIFTY16NOVFUT</v>
      </c>
    </row>
    <row r="4" spans="1:16" x14ac:dyDescent="0.25">
      <c r="A4" s="3" t="str">
        <f>IF(AND(MarketWatch!A4&lt;&gt;"",MarketWatch!B4&lt;&gt;""),MarketWatch!A4,"")</f>
        <v>MCX</v>
      </c>
      <c r="B4" s="3" t="str">
        <f>IF(A4="","",UPPER(MarketWatch!B4))</f>
        <v>SILVERM16NOVFUT</v>
      </c>
      <c r="C4" s="3">
        <f t="shared" ref="C4:C51" si="11">GetRTD(A4,B4,"Last")</f>
        <v>0</v>
      </c>
      <c r="D4" s="3">
        <f t="shared" ref="D4:D51" si="12">GetRTD(A4,B4,"LTQ")</f>
        <v>0</v>
      </c>
      <c r="E4" s="3">
        <f t="shared" ref="E4:E51" si="13">GetRTD(A4,B4,"Bid")</f>
        <v>0</v>
      </c>
      <c r="F4" s="3">
        <f t="shared" ref="F4:F51" si="14">GetRTD(A4,B4,"BidSize")</f>
        <v>0</v>
      </c>
      <c r="G4" s="3">
        <f t="shared" ref="G4:G51" si="15">GetRTD(A4,B4,"Ask")</f>
        <v>0</v>
      </c>
      <c r="H4" s="3">
        <f t="shared" ref="H4:H51" si="16">GetRTD(A4,B4,"AskSize")</f>
        <v>0</v>
      </c>
      <c r="I4" s="3">
        <f t="shared" ref="I4:I51" si="17">GetRTD(A4,B4,"Open")</f>
        <v>0</v>
      </c>
      <c r="J4" s="3">
        <f t="shared" ref="J4:J51" si="18">GetRTD(A4,B4,"High")</f>
        <v>0</v>
      </c>
      <c r="K4" s="3">
        <f t="shared" ref="K4:K51" si="19">GetRTD(A4,B4,"Low")</f>
        <v>0</v>
      </c>
      <c r="L4" s="3">
        <f t="shared" ref="L4:L51" si="20">GetRTD(A4,B4,"Volume")</f>
        <v>0</v>
      </c>
      <c r="M4" s="7"/>
      <c r="N4" s="3" t="str">
        <f t="shared" si="10"/>
        <v>SILVERM16NOVFUT</v>
      </c>
      <c r="P4" s="1" t="s">
        <v>14</v>
      </c>
    </row>
    <row r="5" spans="1:16" x14ac:dyDescent="0.25">
      <c r="A5" s="3" t="str">
        <f>IF(AND(MarketWatch!A5&lt;&gt;"",MarketWatch!B5&lt;&gt;""),MarketWatch!A5,"")</f>
        <v>NSE</v>
      </c>
      <c r="B5" s="3" t="str">
        <f>IF(A5="","",UPPER(MarketWatch!B5))</f>
        <v>YESBANK-EQ</v>
      </c>
      <c r="C5" s="3">
        <f t="shared" si="11"/>
        <v>0</v>
      </c>
      <c r="D5" s="3">
        <f t="shared" si="12"/>
        <v>0</v>
      </c>
      <c r="E5" s="3">
        <f t="shared" si="13"/>
        <v>0</v>
      </c>
      <c r="F5" s="3">
        <f t="shared" si="14"/>
        <v>0</v>
      </c>
      <c r="G5" s="3">
        <f t="shared" si="15"/>
        <v>0</v>
      </c>
      <c r="H5" s="3">
        <f t="shared" si="16"/>
        <v>0</v>
      </c>
      <c r="I5" s="3">
        <f t="shared" si="17"/>
        <v>0</v>
      </c>
      <c r="J5" s="3">
        <f t="shared" si="18"/>
        <v>0</v>
      </c>
      <c r="K5" s="3">
        <f t="shared" si="19"/>
        <v>0</v>
      </c>
      <c r="L5" s="3">
        <f t="shared" si="20"/>
        <v>0</v>
      </c>
      <c r="M5" s="7"/>
      <c r="N5" s="3" t="str">
        <f t="shared" si="10"/>
        <v>YESBANKEQ</v>
      </c>
      <c r="P5" s="4" t="s">
        <v>13</v>
      </c>
    </row>
    <row r="6" spans="1:16" x14ac:dyDescent="0.25">
      <c r="A6" s="3" t="str">
        <f>IF(AND(MarketWatch!A6&lt;&gt;"",MarketWatch!B6&lt;&gt;""),MarketWatch!A6,"")</f>
        <v/>
      </c>
      <c r="B6" s="3" t="str">
        <f>IF(A6="","",UPPER(MarketWatch!B6))</f>
        <v/>
      </c>
      <c r="C6" s="3">
        <f t="shared" si="11"/>
        <v>0</v>
      </c>
      <c r="D6" s="3">
        <f t="shared" si="12"/>
        <v>0</v>
      </c>
      <c r="E6" s="3">
        <f t="shared" si="13"/>
        <v>0</v>
      </c>
      <c r="F6" s="3">
        <f t="shared" si="14"/>
        <v>0</v>
      </c>
      <c r="G6" s="3">
        <f t="shared" si="15"/>
        <v>0</v>
      </c>
      <c r="H6" s="3">
        <f t="shared" si="16"/>
        <v>0</v>
      </c>
      <c r="I6" s="3">
        <f t="shared" si="17"/>
        <v>0</v>
      </c>
      <c r="J6" s="3">
        <f t="shared" si="18"/>
        <v>0</v>
      </c>
      <c r="K6" s="3">
        <f t="shared" si="19"/>
        <v>0</v>
      </c>
      <c r="L6" s="3">
        <f t="shared" si="20"/>
        <v>0</v>
      </c>
      <c r="M6" s="7"/>
      <c r="N6" s="3" t="str">
        <f t="shared" si="10"/>
        <v/>
      </c>
    </row>
    <row r="7" spans="1:16" x14ac:dyDescent="0.25">
      <c r="A7" s="3" t="str">
        <f>IF(AND(MarketWatch!A7&lt;&gt;"",MarketWatch!B7&lt;&gt;""),MarketWatch!A7,"")</f>
        <v/>
      </c>
      <c r="B7" s="3" t="str">
        <f>IF(A7="","",UPPER(MarketWatch!B7))</f>
        <v/>
      </c>
      <c r="C7" s="3">
        <f t="shared" si="11"/>
        <v>0</v>
      </c>
      <c r="D7" s="3">
        <f t="shared" si="12"/>
        <v>0</v>
      </c>
      <c r="E7" s="3">
        <f t="shared" si="13"/>
        <v>0</v>
      </c>
      <c r="F7" s="3">
        <f t="shared" si="14"/>
        <v>0</v>
      </c>
      <c r="G7" s="3">
        <f t="shared" si="15"/>
        <v>0</v>
      </c>
      <c r="H7" s="3">
        <f t="shared" si="16"/>
        <v>0</v>
      </c>
      <c r="I7" s="3">
        <f t="shared" si="17"/>
        <v>0</v>
      </c>
      <c r="J7" s="3">
        <f t="shared" si="18"/>
        <v>0</v>
      </c>
      <c r="K7" s="3">
        <f t="shared" si="19"/>
        <v>0</v>
      </c>
      <c r="L7" s="3">
        <f t="shared" si="20"/>
        <v>0</v>
      </c>
      <c r="M7" s="7"/>
      <c r="N7" s="3" t="str">
        <f t="shared" si="10"/>
        <v/>
      </c>
      <c r="P7" s="1" t="s">
        <v>15</v>
      </c>
    </row>
    <row r="8" spans="1:16" x14ac:dyDescent="0.25">
      <c r="A8" s="3" t="str">
        <f>IF(AND(MarketWatch!A8&lt;&gt;"",MarketWatch!B8&lt;&gt;""),MarketWatch!A8,"")</f>
        <v/>
      </c>
      <c r="B8" s="3" t="str">
        <f>IF(A8="","",UPPER(MarketWatch!B8))</f>
        <v/>
      </c>
      <c r="C8" s="3">
        <f t="shared" si="11"/>
        <v>0</v>
      </c>
      <c r="D8" s="3">
        <f t="shared" si="12"/>
        <v>0</v>
      </c>
      <c r="E8" s="3">
        <f t="shared" si="13"/>
        <v>0</v>
      </c>
      <c r="F8" s="3">
        <f t="shared" si="14"/>
        <v>0</v>
      </c>
      <c r="G8" s="3">
        <f t="shared" si="15"/>
        <v>0</v>
      </c>
      <c r="H8" s="3">
        <f t="shared" si="16"/>
        <v>0</v>
      </c>
      <c r="I8" s="3">
        <f t="shared" si="17"/>
        <v>0</v>
      </c>
      <c r="J8" s="3">
        <f t="shared" si="18"/>
        <v>0</v>
      </c>
      <c r="K8" s="3">
        <f t="shared" si="19"/>
        <v>0</v>
      </c>
      <c r="L8" s="3">
        <f t="shared" si="20"/>
        <v>0</v>
      </c>
      <c r="M8" s="7"/>
      <c r="N8" s="3" t="str">
        <f t="shared" si="10"/>
        <v/>
      </c>
      <c r="P8" s="4" t="s">
        <v>16</v>
      </c>
    </row>
    <row r="9" spans="1:16" x14ac:dyDescent="0.25">
      <c r="A9" s="3" t="str">
        <f>IF(AND(MarketWatch!A9&lt;&gt;"",MarketWatch!B9&lt;&gt;""),MarketWatch!A9,"")</f>
        <v/>
      </c>
      <c r="B9" s="3" t="str">
        <f>IF(A9="","",UPPER(MarketWatch!B9))</f>
        <v/>
      </c>
      <c r="C9" s="3">
        <f t="shared" si="11"/>
        <v>0</v>
      </c>
      <c r="D9" s="3">
        <f t="shared" si="12"/>
        <v>0</v>
      </c>
      <c r="E9" s="3">
        <f t="shared" si="13"/>
        <v>0</v>
      </c>
      <c r="F9" s="3">
        <f t="shared" si="14"/>
        <v>0</v>
      </c>
      <c r="G9" s="3">
        <f t="shared" si="15"/>
        <v>0</v>
      </c>
      <c r="H9" s="3">
        <f t="shared" si="16"/>
        <v>0</v>
      </c>
      <c r="I9" s="3">
        <f t="shared" si="17"/>
        <v>0</v>
      </c>
      <c r="J9" s="3">
        <f t="shared" si="18"/>
        <v>0</v>
      </c>
      <c r="K9" s="3">
        <f t="shared" si="19"/>
        <v>0</v>
      </c>
      <c r="L9" s="3">
        <f t="shared" si="20"/>
        <v>0</v>
      </c>
      <c r="M9" s="7"/>
      <c r="N9" s="3" t="str">
        <f t="shared" si="10"/>
        <v/>
      </c>
    </row>
    <row r="10" spans="1:16" x14ac:dyDescent="0.25">
      <c r="A10" s="3" t="str">
        <f>IF(AND(MarketWatch!A10&lt;&gt;"",MarketWatch!B10&lt;&gt;""),MarketWatch!A10,"")</f>
        <v/>
      </c>
      <c r="B10" s="3" t="str">
        <f>IF(A10="","",UPPER(MarketWatch!B10))</f>
        <v/>
      </c>
      <c r="C10" s="3">
        <f t="shared" si="11"/>
        <v>0</v>
      </c>
      <c r="D10" s="3">
        <f t="shared" si="12"/>
        <v>0</v>
      </c>
      <c r="E10" s="3">
        <f t="shared" si="13"/>
        <v>0</v>
      </c>
      <c r="F10" s="3">
        <f t="shared" si="14"/>
        <v>0</v>
      </c>
      <c r="G10" s="3">
        <f t="shared" si="15"/>
        <v>0</v>
      </c>
      <c r="H10" s="3">
        <f t="shared" si="16"/>
        <v>0</v>
      </c>
      <c r="I10" s="3">
        <f t="shared" si="17"/>
        <v>0</v>
      </c>
      <c r="J10" s="3">
        <f t="shared" si="18"/>
        <v>0</v>
      </c>
      <c r="K10" s="3">
        <f t="shared" si="19"/>
        <v>0</v>
      </c>
      <c r="L10" s="3">
        <f t="shared" si="20"/>
        <v>0</v>
      </c>
      <c r="M10" s="7"/>
      <c r="N10" s="3" t="str">
        <f t="shared" si="10"/>
        <v/>
      </c>
    </row>
    <row r="11" spans="1:16" x14ac:dyDescent="0.25">
      <c r="A11" s="3" t="str">
        <f>IF(AND(MarketWatch!A11&lt;&gt;"",MarketWatch!B11&lt;&gt;""),MarketWatch!A11,"")</f>
        <v/>
      </c>
      <c r="B11" s="3" t="str">
        <f>IF(A11="","",UPPER(MarketWatch!B11))</f>
        <v/>
      </c>
      <c r="C11" s="3">
        <f t="shared" si="11"/>
        <v>0</v>
      </c>
      <c r="D11" s="3">
        <f t="shared" si="12"/>
        <v>0</v>
      </c>
      <c r="E11" s="3">
        <f t="shared" si="13"/>
        <v>0</v>
      </c>
      <c r="F11" s="3">
        <f t="shared" si="14"/>
        <v>0</v>
      </c>
      <c r="G11" s="3">
        <f t="shared" si="15"/>
        <v>0</v>
      </c>
      <c r="H11" s="3">
        <f t="shared" si="16"/>
        <v>0</v>
      </c>
      <c r="I11" s="3">
        <f t="shared" si="17"/>
        <v>0</v>
      </c>
      <c r="J11" s="3">
        <f t="shared" si="18"/>
        <v>0</v>
      </c>
      <c r="K11" s="3">
        <f t="shared" si="19"/>
        <v>0</v>
      </c>
      <c r="L11" s="3">
        <f t="shared" si="20"/>
        <v>0</v>
      </c>
      <c r="M11" s="7"/>
      <c r="N11" s="3" t="str">
        <f t="shared" si="10"/>
        <v/>
      </c>
    </row>
    <row r="12" spans="1:16" x14ac:dyDescent="0.25">
      <c r="A12" s="3" t="str">
        <f>IF(AND(MarketWatch!A12&lt;&gt;"",MarketWatch!B12&lt;&gt;""),MarketWatch!A12,"")</f>
        <v/>
      </c>
      <c r="B12" s="3" t="str">
        <f>IF(A12="","",UPPER(MarketWatch!B12))</f>
        <v/>
      </c>
      <c r="C12" s="3">
        <f t="shared" si="11"/>
        <v>0</v>
      </c>
      <c r="D12" s="3">
        <f t="shared" si="12"/>
        <v>0</v>
      </c>
      <c r="E12" s="3">
        <f t="shared" si="13"/>
        <v>0</v>
      </c>
      <c r="F12" s="3">
        <f t="shared" si="14"/>
        <v>0</v>
      </c>
      <c r="G12" s="3">
        <f t="shared" si="15"/>
        <v>0</v>
      </c>
      <c r="H12" s="3">
        <f t="shared" si="16"/>
        <v>0</v>
      </c>
      <c r="I12" s="3">
        <f t="shared" si="17"/>
        <v>0</v>
      </c>
      <c r="J12" s="3">
        <f t="shared" si="18"/>
        <v>0</v>
      </c>
      <c r="K12" s="3">
        <f t="shared" si="19"/>
        <v>0</v>
      </c>
      <c r="L12" s="3">
        <f t="shared" si="20"/>
        <v>0</v>
      </c>
      <c r="M12" s="7"/>
      <c r="N12" s="3" t="str">
        <f t="shared" si="10"/>
        <v/>
      </c>
    </row>
    <row r="13" spans="1:16" x14ac:dyDescent="0.25">
      <c r="A13" s="3" t="str">
        <f>IF(AND(MarketWatch!A13&lt;&gt;"",MarketWatch!B13&lt;&gt;""),MarketWatch!A13,"")</f>
        <v/>
      </c>
      <c r="B13" s="3" t="str">
        <f>IF(A13="","",UPPER(MarketWatch!B13))</f>
        <v/>
      </c>
      <c r="C13" s="3">
        <f t="shared" si="11"/>
        <v>0</v>
      </c>
      <c r="D13" s="3">
        <f t="shared" si="12"/>
        <v>0</v>
      </c>
      <c r="E13" s="3">
        <f t="shared" si="13"/>
        <v>0</v>
      </c>
      <c r="F13" s="3">
        <f t="shared" si="14"/>
        <v>0</v>
      </c>
      <c r="G13" s="3">
        <f t="shared" si="15"/>
        <v>0</v>
      </c>
      <c r="H13" s="3">
        <f t="shared" si="16"/>
        <v>0</v>
      </c>
      <c r="I13" s="3">
        <f t="shared" si="17"/>
        <v>0</v>
      </c>
      <c r="J13" s="3">
        <f t="shared" si="18"/>
        <v>0</v>
      </c>
      <c r="K13" s="3">
        <f t="shared" si="19"/>
        <v>0</v>
      </c>
      <c r="L13" s="3">
        <f t="shared" si="20"/>
        <v>0</v>
      </c>
      <c r="M13" s="7"/>
      <c r="N13" s="3" t="str">
        <f t="shared" si="10"/>
        <v/>
      </c>
    </row>
    <row r="14" spans="1:16" x14ac:dyDescent="0.25">
      <c r="A14" s="3" t="str">
        <f>IF(AND(MarketWatch!A14&lt;&gt;"",MarketWatch!B14&lt;&gt;""),MarketWatch!A14,"")</f>
        <v/>
      </c>
      <c r="B14" s="3" t="str">
        <f>IF(A14="","",UPPER(MarketWatch!B14))</f>
        <v/>
      </c>
      <c r="C14" s="3">
        <f t="shared" si="11"/>
        <v>0</v>
      </c>
      <c r="D14" s="3">
        <f t="shared" si="12"/>
        <v>0</v>
      </c>
      <c r="E14" s="3">
        <f t="shared" si="13"/>
        <v>0</v>
      </c>
      <c r="F14" s="3">
        <f t="shared" si="14"/>
        <v>0</v>
      </c>
      <c r="G14" s="3">
        <f t="shared" si="15"/>
        <v>0</v>
      </c>
      <c r="H14" s="3">
        <f t="shared" si="16"/>
        <v>0</v>
      </c>
      <c r="I14" s="3">
        <f t="shared" si="17"/>
        <v>0</v>
      </c>
      <c r="J14" s="3">
        <f t="shared" si="18"/>
        <v>0</v>
      </c>
      <c r="K14" s="3">
        <f t="shared" si="19"/>
        <v>0</v>
      </c>
      <c r="L14" s="3">
        <f t="shared" si="20"/>
        <v>0</v>
      </c>
      <c r="M14" s="7"/>
      <c r="N14" s="3" t="str">
        <f t="shared" si="10"/>
        <v/>
      </c>
    </row>
    <row r="15" spans="1:16" x14ac:dyDescent="0.25">
      <c r="A15" s="3" t="str">
        <f>IF(AND(MarketWatch!A15&lt;&gt;"",MarketWatch!B15&lt;&gt;""),MarketWatch!A15,"")</f>
        <v/>
      </c>
      <c r="B15" s="3" t="str">
        <f>IF(A15="","",UPPER(MarketWatch!B15))</f>
        <v/>
      </c>
      <c r="C15" s="3">
        <f t="shared" si="11"/>
        <v>0</v>
      </c>
      <c r="D15" s="3">
        <f t="shared" si="12"/>
        <v>0</v>
      </c>
      <c r="E15" s="3">
        <f t="shared" si="13"/>
        <v>0</v>
      </c>
      <c r="F15" s="3">
        <f t="shared" si="14"/>
        <v>0</v>
      </c>
      <c r="G15" s="3">
        <f t="shared" si="15"/>
        <v>0</v>
      </c>
      <c r="H15" s="3">
        <f t="shared" si="16"/>
        <v>0</v>
      </c>
      <c r="I15" s="3">
        <f t="shared" si="17"/>
        <v>0</v>
      </c>
      <c r="J15" s="3">
        <f t="shared" si="18"/>
        <v>0</v>
      </c>
      <c r="K15" s="3">
        <f t="shared" si="19"/>
        <v>0</v>
      </c>
      <c r="L15" s="3">
        <f t="shared" si="20"/>
        <v>0</v>
      </c>
      <c r="M15" s="7"/>
      <c r="N15" s="3" t="str">
        <f t="shared" si="10"/>
        <v/>
      </c>
    </row>
    <row r="16" spans="1:16" x14ac:dyDescent="0.25">
      <c r="A16" s="3" t="str">
        <f>IF(AND(MarketWatch!A16&lt;&gt;"",MarketWatch!B16&lt;&gt;""),MarketWatch!A16,"")</f>
        <v/>
      </c>
      <c r="B16" s="3" t="str">
        <f>IF(A16="","",UPPER(MarketWatch!B16))</f>
        <v/>
      </c>
      <c r="C16" s="3">
        <f t="shared" si="11"/>
        <v>0</v>
      </c>
      <c r="D16" s="3">
        <f t="shared" si="12"/>
        <v>0</v>
      </c>
      <c r="E16" s="3">
        <f t="shared" si="13"/>
        <v>0</v>
      </c>
      <c r="F16" s="3">
        <f t="shared" si="14"/>
        <v>0</v>
      </c>
      <c r="G16" s="3">
        <f t="shared" si="15"/>
        <v>0</v>
      </c>
      <c r="H16" s="3">
        <f t="shared" si="16"/>
        <v>0</v>
      </c>
      <c r="I16" s="3">
        <f t="shared" si="17"/>
        <v>0</v>
      </c>
      <c r="J16" s="3">
        <f t="shared" si="18"/>
        <v>0</v>
      </c>
      <c r="K16" s="3">
        <f t="shared" si="19"/>
        <v>0</v>
      </c>
      <c r="L16" s="3">
        <f t="shared" si="20"/>
        <v>0</v>
      </c>
      <c r="M16" s="7"/>
      <c r="N16" s="3" t="str">
        <f t="shared" si="10"/>
        <v/>
      </c>
    </row>
    <row r="17" spans="1:14" x14ac:dyDescent="0.25">
      <c r="A17" s="3" t="str">
        <f>IF(AND(MarketWatch!A17&lt;&gt;"",MarketWatch!B17&lt;&gt;""),MarketWatch!A17,"")</f>
        <v/>
      </c>
      <c r="B17" s="3" t="str">
        <f>IF(A17="","",UPPER(MarketWatch!B17))</f>
        <v/>
      </c>
      <c r="C17" s="3">
        <f t="shared" si="11"/>
        <v>0</v>
      </c>
      <c r="D17" s="3">
        <f t="shared" si="12"/>
        <v>0</v>
      </c>
      <c r="E17" s="3">
        <f t="shared" si="13"/>
        <v>0</v>
      </c>
      <c r="F17" s="3">
        <f t="shared" si="14"/>
        <v>0</v>
      </c>
      <c r="G17" s="3">
        <f t="shared" si="15"/>
        <v>0</v>
      </c>
      <c r="H17" s="3">
        <f t="shared" si="16"/>
        <v>0</v>
      </c>
      <c r="I17" s="3">
        <f t="shared" si="17"/>
        <v>0</v>
      </c>
      <c r="J17" s="3">
        <f t="shared" si="18"/>
        <v>0</v>
      </c>
      <c r="K17" s="3">
        <f t="shared" si="19"/>
        <v>0</v>
      </c>
      <c r="L17" s="3">
        <f t="shared" si="20"/>
        <v>0</v>
      </c>
      <c r="M17" s="7"/>
      <c r="N17" s="3" t="str">
        <f t="shared" si="10"/>
        <v/>
      </c>
    </row>
    <row r="18" spans="1:14" x14ac:dyDescent="0.25">
      <c r="A18" s="3" t="str">
        <f>IF(AND(MarketWatch!A18&lt;&gt;"",MarketWatch!B18&lt;&gt;""),MarketWatch!A18,"")</f>
        <v/>
      </c>
      <c r="B18" s="3" t="str">
        <f>IF(A18="","",UPPER(MarketWatch!B18))</f>
        <v/>
      </c>
      <c r="C18" s="3">
        <f t="shared" si="11"/>
        <v>0</v>
      </c>
      <c r="D18" s="3">
        <f t="shared" si="12"/>
        <v>0</v>
      </c>
      <c r="E18" s="3">
        <f t="shared" si="13"/>
        <v>0</v>
      </c>
      <c r="F18" s="3">
        <f t="shared" si="14"/>
        <v>0</v>
      </c>
      <c r="G18" s="3">
        <f t="shared" si="15"/>
        <v>0</v>
      </c>
      <c r="H18" s="3">
        <f t="shared" si="16"/>
        <v>0</v>
      </c>
      <c r="I18" s="3">
        <f t="shared" si="17"/>
        <v>0</v>
      </c>
      <c r="J18" s="3">
        <f t="shared" si="18"/>
        <v>0</v>
      </c>
      <c r="K18" s="3">
        <f t="shared" si="19"/>
        <v>0</v>
      </c>
      <c r="L18" s="3">
        <f t="shared" si="20"/>
        <v>0</v>
      </c>
      <c r="M18" s="7"/>
      <c r="N18" s="3" t="str">
        <f t="shared" si="10"/>
        <v/>
      </c>
    </row>
    <row r="19" spans="1:14" x14ac:dyDescent="0.25">
      <c r="A19" s="3" t="str">
        <f>IF(AND(MarketWatch!A19&lt;&gt;"",MarketWatch!B19&lt;&gt;""),MarketWatch!A19,"")</f>
        <v/>
      </c>
      <c r="B19" s="3" t="str">
        <f>IF(A19="","",UPPER(MarketWatch!B19))</f>
        <v/>
      </c>
      <c r="C19" s="3">
        <f t="shared" si="11"/>
        <v>0</v>
      </c>
      <c r="D19" s="3">
        <f t="shared" si="12"/>
        <v>0</v>
      </c>
      <c r="E19" s="3">
        <f t="shared" si="13"/>
        <v>0</v>
      </c>
      <c r="F19" s="3">
        <f t="shared" si="14"/>
        <v>0</v>
      </c>
      <c r="G19" s="3">
        <f t="shared" si="15"/>
        <v>0</v>
      </c>
      <c r="H19" s="3">
        <f t="shared" si="16"/>
        <v>0</v>
      </c>
      <c r="I19" s="3">
        <f t="shared" si="17"/>
        <v>0</v>
      </c>
      <c r="J19" s="3">
        <f t="shared" si="18"/>
        <v>0</v>
      </c>
      <c r="K19" s="3">
        <f t="shared" si="19"/>
        <v>0</v>
      </c>
      <c r="L19" s="3">
        <f t="shared" si="20"/>
        <v>0</v>
      </c>
      <c r="M19" s="7"/>
      <c r="N19" s="3" t="str">
        <f t="shared" si="10"/>
        <v/>
      </c>
    </row>
    <row r="20" spans="1:14" x14ac:dyDescent="0.25">
      <c r="A20" s="3" t="str">
        <f>IF(AND(MarketWatch!A20&lt;&gt;"",MarketWatch!B20&lt;&gt;""),MarketWatch!A20,"")</f>
        <v/>
      </c>
      <c r="B20" s="3" t="str">
        <f>IF(A20="","",UPPER(MarketWatch!B20))</f>
        <v/>
      </c>
      <c r="C20" s="3">
        <f t="shared" si="11"/>
        <v>0</v>
      </c>
      <c r="D20" s="3">
        <f t="shared" si="12"/>
        <v>0</v>
      </c>
      <c r="E20" s="3">
        <f t="shared" si="13"/>
        <v>0</v>
      </c>
      <c r="F20" s="3">
        <f t="shared" si="14"/>
        <v>0</v>
      </c>
      <c r="G20" s="3">
        <f t="shared" si="15"/>
        <v>0</v>
      </c>
      <c r="H20" s="3">
        <f t="shared" si="16"/>
        <v>0</v>
      </c>
      <c r="I20" s="3">
        <f t="shared" si="17"/>
        <v>0</v>
      </c>
      <c r="J20" s="3">
        <f t="shared" si="18"/>
        <v>0</v>
      </c>
      <c r="K20" s="3">
        <f t="shared" si="19"/>
        <v>0</v>
      </c>
      <c r="L20" s="3">
        <f t="shared" si="20"/>
        <v>0</v>
      </c>
      <c r="M20" s="7"/>
      <c r="N20" s="3" t="str">
        <f t="shared" si="10"/>
        <v/>
      </c>
    </row>
    <row r="21" spans="1:14" x14ac:dyDescent="0.25">
      <c r="A21" s="3" t="str">
        <f>IF(AND(MarketWatch!A21&lt;&gt;"",MarketWatch!B21&lt;&gt;""),MarketWatch!A21,"")</f>
        <v/>
      </c>
      <c r="B21" s="3" t="str">
        <f>IF(A21="","",UPPER(MarketWatch!B21))</f>
        <v/>
      </c>
      <c r="C21" s="3">
        <f t="shared" si="11"/>
        <v>0</v>
      </c>
      <c r="D21" s="3">
        <f t="shared" si="12"/>
        <v>0</v>
      </c>
      <c r="E21" s="3">
        <f t="shared" si="13"/>
        <v>0</v>
      </c>
      <c r="F21" s="3">
        <f t="shared" si="14"/>
        <v>0</v>
      </c>
      <c r="G21" s="3">
        <f t="shared" si="15"/>
        <v>0</v>
      </c>
      <c r="H21" s="3">
        <f t="shared" si="16"/>
        <v>0</v>
      </c>
      <c r="I21" s="3">
        <f t="shared" si="17"/>
        <v>0</v>
      </c>
      <c r="J21" s="3">
        <f t="shared" si="18"/>
        <v>0</v>
      </c>
      <c r="K21" s="3">
        <f t="shared" si="19"/>
        <v>0</v>
      </c>
      <c r="L21" s="3">
        <f t="shared" si="20"/>
        <v>0</v>
      </c>
      <c r="M21" s="7"/>
      <c r="N21" s="3" t="str">
        <f t="shared" si="10"/>
        <v/>
      </c>
    </row>
    <row r="22" spans="1:14" x14ac:dyDescent="0.25">
      <c r="A22" s="3" t="str">
        <f>IF(AND(MarketWatch!A22&lt;&gt;"",MarketWatch!B22&lt;&gt;""),MarketWatch!A22,"")</f>
        <v/>
      </c>
      <c r="B22" s="3" t="str">
        <f>IF(A22="","",UPPER(MarketWatch!B22))</f>
        <v/>
      </c>
      <c r="C22" s="3">
        <f t="shared" si="11"/>
        <v>0</v>
      </c>
      <c r="D22" s="3">
        <f t="shared" si="12"/>
        <v>0</v>
      </c>
      <c r="E22" s="3">
        <f t="shared" si="13"/>
        <v>0</v>
      </c>
      <c r="F22" s="3">
        <f t="shared" si="14"/>
        <v>0</v>
      </c>
      <c r="G22" s="3">
        <f t="shared" si="15"/>
        <v>0</v>
      </c>
      <c r="H22" s="3">
        <f t="shared" si="16"/>
        <v>0</v>
      </c>
      <c r="I22" s="3">
        <f t="shared" si="17"/>
        <v>0</v>
      </c>
      <c r="J22" s="3">
        <f t="shared" si="18"/>
        <v>0</v>
      </c>
      <c r="K22" s="3">
        <f t="shared" si="19"/>
        <v>0</v>
      </c>
      <c r="L22" s="3">
        <f t="shared" si="20"/>
        <v>0</v>
      </c>
      <c r="M22" s="7"/>
      <c r="N22" s="3" t="str">
        <f t="shared" si="10"/>
        <v/>
      </c>
    </row>
    <row r="23" spans="1:14" x14ac:dyDescent="0.25">
      <c r="A23" s="3" t="str">
        <f>IF(AND(MarketWatch!A23&lt;&gt;"",MarketWatch!B23&lt;&gt;""),MarketWatch!A23,"")</f>
        <v/>
      </c>
      <c r="B23" s="3" t="str">
        <f>IF(A23="","",UPPER(MarketWatch!B23))</f>
        <v/>
      </c>
      <c r="C23" s="3">
        <f t="shared" si="11"/>
        <v>0</v>
      </c>
      <c r="D23" s="3">
        <f t="shared" si="12"/>
        <v>0</v>
      </c>
      <c r="E23" s="3">
        <f t="shared" si="13"/>
        <v>0</v>
      </c>
      <c r="F23" s="3">
        <f t="shared" si="14"/>
        <v>0</v>
      </c>
      <c r="G23" s="3">
        <f t="shared" si="15"/>
        <v>0</v>
      </c>
      <c r="H23" s="3">
        <f t="shared" si="16"/>
        <v>0</v>
      </c>
      <c r="I23" s="3">
        <f t="shared" si="17"/>
        <v>0</v>
      </c>
      <c r="J23" s="3">
        <f t="shared" si="18"/>
        <v>0</v>
      </c>
      <c r="K23" s="3">
        <f t="shared" si="19"/>
        <v>0</v>
      </c>
      <c r="L23" s="3">
        <f t="shared" si="20"/>
        <v>0</v>
      </c>
      <c r="M23" s="7"/>
      <c r="N23" s="3" t="str">
        <f t="shared" si="10"/>
        <v/>
      </c>
    </row>
    <row r="24" spans="1:14" x14ac:dyDescent="0.25">
      <c r="A24" s="3" t="str">
        <f>IF(AND(MarketWatch!A24&lt;&gt;"",MarketWatch!B24&lt;&gt;""),MarketWatch!A24,"")</f>
        <v/>
      </c>
      <c r="B24" s="3" t="str">
        <f>IF(A24="","",UPPER(MarketWatch!B24))</f>
        <v/>
      </c>
      <c r="C24" s="3">
        <f t="shared" si="11"/>
        <v>0</v>
      </c>
      <c r="D24" s="3">
        <f t="shared" si="12"/>
        <v>0</v>
      </c>
      <c r="E24" s="3">
        <f t="shared" si="13"/>
        <v>0</v>
      </c>
      <c r="F24" s="3">
        <f t="shared" si="14"/>
        <v>0</v>
      </c>
      <c r="G24" s="3">
        <f t="shared" si="15"/>
        <v>0</v>
      </c>
      <c r="H24" s="3">
        <f t="shared" si="16"/>
        <v>0</v>
      </c>
      <c r="I24" s="3">
        <f t="shared" si="17"/>
        <v>0</v>
      </c>
      <c r="J24" s="3">
        <f t="shared" si="18"/>
        <v>0</v>
      </c>
      <c r="K24" s="3">
        <f t="shared" si="19"/>
        <v>0</v>
      </c>
      <c r="L24" s="3">
        <f t="shared" si="20"/>
        <v>0</v>
      </c>
      <c r="M24" s="7"/>
      <c r="N24" s="3" t="str">
        <f t="shared" si="10"/>
        <v/>
      </c>
    </row>
    <row r="25" spans="1:14" x14ac:dyDescent="0.25">
      <c r="A25" s="3" t="str">
        <f>IF(AND(MarketWatch!A25&lt;&gt;"",MarketWatch!B25&lt;&gt;""),MarketWatch!A25,"")</f>
        <v/>
      </c>
      <c r="B25" s="3" t="str">
        <f>IF(A25="","",UPPER(MarketWatch!B25))</f>
        <v/>
      </c>
      <c r="C25" s="3">
        <f t="shared" si="11"/>
        <v>0</v>
      </c>
      <c r="D25" s="3">
        <f t="shared" si="12"/>
        <v>0</v>
      </c>
      <c r="E25" s="3">
        <f t="shared" si="13"/>
        <v>0</v>
      </c>
      <c r="F25" s="3">
        <f t="shared" si="14"/>
        <v>0</v>
      </c>
      <c r="G25" s="3">
        <f t="shared" si="15"/>
        <v>0</v>
      </c>
      <c r="H25" s="3">
        <f t="shared" si="16"/>
        <v>0</v>
      </c>
      <c r="I25" s="3">
        <f t="shared" si="17"/>
        <v>0</v>
      </c>
      <c r="J25" s="3">
        <f t="shared" si="18"/>
        <v>0</v>
      </c>
      <c r="K25" s="3">
        <f t="shared" si="19"/>
        <v>0</v>
      </c>
      <c r="L25" s="3">
        <f t="shared" si="20"/>
        <v>0</v>
      </c>
      <c r="M25" s="7"/>
      <c r="N25" s="3" t="str">
        <f t="shared" si="10"/>
        <v/>
      </c>
    </row>
    <row r="26" spans="1:14" x14ac:dyDescent="0.25">
      <c r="A26" s="3" t="str">
        <f>IF(AND(MarketWatch!A26&lt;&gt;"",MarketWatch!B26&lt;&gt;""),MarketWatch!A26,"")</f>
        <v/>
      </c>
      <c r="B26" s="3" t="str">
        <f>IF(A26="","",UPPER(MarketWatch!B26))</f>
        <v/>
      </c>
      <c r="C26" s="3">
        <f t="shared" si="11"/>
        <v>0</v>
      </c>
      <c r="D26" s="3">
        <f t="shared" si="12"/>
        <v>0</v>
      </c>
      <c r="E26" s="3">
        <f t="shared" si="13"/>
        <v>0</v>
      </c>
      <c r="F26" s="3">
        <f t="shared" si="14"/>
        <v>0</v>
      </c>
      <c r="G26" s="3">
        <f t="shared" si="15"/>
        <v>0</v>
      </c>
      <c r="H26" s="3">
        <f t="shared" si="16"/>
        <v>0</v>
      </c>
      <c r="I26" s="3">
        <f t="shared" si="17"/>
        <v>0</v>
      </c>
      <c r="J26" s="3">
        <f t="shared" si="18"/>
        <v>0</v>
      </c>
      <c r="K26" s="3">
        <f t="shared" si="19"/>
        <v>0</v>
      </c>
      <c r="L26" s="3">
        <f t="shared" si="20"/>
        <v>0</v>
      </c>
      <c r="M26" s="7"/>
      <c r="N26" s="3" t="str">
        <f t="shared" si="10"/>
        <v/>
      </c>
    </row>
    <row r="27" spans="1:14" x14ac:dyDescent="0.25">
      <c r="A27" s="3" t="str">
        <f>IF(AND(MarketWatch!A27&lt;&gt;"",MarketWatch!B27&lt;&gt;""),MarketWatch!A27,"")</f>
        <v/>
      </c>
      <c r="B27" s="3" t="str">
        <f>IF(A27="","",UPPER(MarketWatch!B27))</f>
        <v/>
      </c>
      <c r="C27" s="3">
        <f t="shared" si="11"/>
        <v>0</v>
      </c>
      <c r="D27" s="3">
        <f t="shared" si="12"/>
        <v>0</v>
      </c>
      <c r="E27" s="3">
        <f t="shared" si="13"/>
        <v>0</v>
      </c>
      <c r="F27" s="3">
        <f t="shared" si="14"/>
        <v>0</v>
      </c>
      <c r="G27" s="3">
        <f t="shared" si="15"/>
        <v>0</v>
      </c>
      <c r="H27" s="3">
        <f t="shared" si="16"/>
        <v>0</v>
      </c>
      <c r="I27" s="3">
        <f t="shared" si="17"/>
        <v>0</v>
      </c>
      <c r="J27" s="3">
        <f t="shared" si="18"/>
        <v>0</v>
      </c>
      <c r="K27" s="3">
        <f t="shared" si="19"/>
        <v>0</v>
      </c>
      <c r="L27" s="3">
        <f t="shared" si="20"/>
        <v>0</v>
      </c>
      <c r="M27" s="7"/>
      <c r="N27" s="3" t="str">
        <f t="shared" si="10"/>
        <v/>
      </c>
    </row>
    <row r="28" spans="1:14" x14ac:dyDescent="0.25">
      <c r="A28" s="3" t="str">
        <f>IF(AND(MarketWatch!A28&lt;&gt;"",MarketWatch!B28&lt;&gt;""),MarketWatch!A28,"")</f>
        <v/>
      </c>
      <c r="B28" s="3" t="str">
        <f>IF(A28="","",UPPER(MarketWatch!B28))</f>
        <v/>
      </c>
      <c r="C28" s="3">
        <f t="shared" si="11"/>
        <v>0</v>
      </c>
      <c r="D28" s="3">
        <f t="shared" si="12"/>
        <v>0</v>
      </c>
      <c r="E28" s="3">
        <f t="shared" si="13"/>
        <v>0</v>
      </c>
      <c r="F28" s="3">
        <f t="shared" si="14"/>
        <v>0</v>
      </c>
      <c r="G28" s="3">
        <f t="shared" si="15"/>
        <v>0</v>
      </c>
      <c r="H28" s="3">
        <f t="shared" si="16"/>
        <v>0</v>
      </c>
      <c r="I28" s="3">
        <f t="shared" si="17"/>
        <v>0</v>
      </c>
      <c r="J28" s="3">
        <f t="shared" si="18"/>
        <v>0</v>
      </c>
      <c r="K28" s="3">
        <f t="shared" si="19"/>
        <v>0</v>
      </c>
      <c r="L28" s="3">
        <f t="shared" si="20"/>
        <v>0</v>
      </c>
      <c r="M28" s="7"/>
      <c r="N28" s="3" t="str">
        <f t="shared" si="10"/>
        <v/>
      </c>
    </row>
    <row r="29" spans="1:14" x14ac:dyDescent="0.25">
      <c r="A29" s="3" t="str">
        <f>IF(AND(MarketWatch!A29&lt;&gt;"",MarketWatch!B29&lt;&gt;""),MarketWatch!A29,"")</f>
        <v/>
      </c>
      <c r="B29" s="3" t="str">
        <f>IF(A29="","",UPPER(MarketWatch!B29))</f>
        <v/>
      </c>
      <c r="C29" s="3">
        <f t="shared" si="11"/>
        <v>0</v>
      </c>
      <c r="D29" s="3">
        <f t="shared" si="12"/>
        <v>0</v>
      </c>
      <c r="E29" s="3">
        <f t="shared" si="13"/>
        <v>0</v>
      </c>
      <c r="F29" s="3">
        <f t="shared" si="14"/>
        <v>0</v>
      </c>
      <c r="G29" s="3">
        <f t="shared" si="15"/>
        <v>0</v>
      </c>
      <c r="H29" s="3">
        <f t="shared" si="16"/>
        <v>0</v>
      </c>
      <c r="I29" s="3">
        <f t="shared" si="17"/>
        <v>0</v>
      </c>
      <c r="J29" s="3">
        <f t="shared" si="18"/>
        <v>0</v>
      </c>
      <c r="K29" s="3">
        <f t="shared" si="19"/>
        <v>0</v>
      </c>
      <c r="L29" s="3">
        <f t="shared" si="20"/>
        <v>0</v>
      </c>
      <c r="M29" s="7"/>
      <c r="N29" s="3" t="str">
        <f t="shared" si="10"/>
        <v/>
      </c>
    </row>
    <row r="30" spans="1:14" x14ac:dyDescent="0.25">
      <c r="A30" s="3" t="str">
        <f>IF(AND(MarketWatch!A30&lt;&gt;"",MarketWatch!B30&lt;&gt;""),MarketWatch!A30,"")</f>
        <v/>
      </c>
      <c r="B30" s="3" t="str">
        <f>IF(A30="","",UPPER(MarketWatch!B30))</f>
        <v/>
      </c>
      <c r="C30" s="3">
        <f t="shared" si="11"/>
        <v>0</v>
      </c>
      <c r="D30" s="3">
        <f t="shared" si="12"/>
        <v>0</v>
      </c>
      <c r="E30" s="3">
        <f t="shared" si="13"/>
        <v>0</v>
      </c>
      <c r="F30" s="3">
        <f t="shared" si="14"/>
        <v>0</v>
      </c>
      <c r="G30" s="3">
        <f t="shared" si="15"/>
        <v>0</v>
      </c>
      <c r="H30" s="3">
        <f t="shared" si="16"/>
        <v>0</v>
      </c>
      <c r="I30" s="3">
        <f t="shared" si="17"/>
        <v>0</v>
      </c>
      <c r="J30" s="3">
        <f t="shared" si="18"/>
        <v>0</v>
      </c>
      <c r="K30" s="3">
        <f t="shared" si="19"/>
        <v>0</v>
      </c>
      <c r="L30" s="3">
        <f t="shared" si="20"/>
        <v>0</v>
      </c>
      <c r="M30" s="7"/>
      <c r="N30" s="3" t="str">
        <f t="shared" si="10"/>
        <v/>
      </c>
    </row>
    <row r="31" spans="1:14" x14ac:dyDescent="0.25">
      <c r="A31" s="3" t="str">
        <f>IF(AND(MarketWatch!A31&lt;&gt;"",MarketWatch!B31&lt;&gt;""),MarketWatch!A31,"")</f>
        <v/>
      </c>
      <c r="B31" s="3" t="str">
        <f>IF(A31="","",UPPER(MarketWatch!B31))</f>
        <v/>
      </c>
      <c r="C31" s="3">
        <f t="shared" si="11"/>
        <v>0</v>
      </c>
      <c r="D31" s="3">
        <f t="shared" si="12"/>
        <v>0</v>
      </c>
      <c r="E31" s="3">
        <f t="shared" si="13"/>
        <v>0</v>
      </c>
      <c r="F31" s="3">
        <f t="shared" si="14"/>
        <v>0</v>
      </c>
      <c r="G31" s="3">
        <f t="shared" si="15"/>
        <v>0</v>
      </c>
      <c r="H31" s="3">
        <f t="shared" si="16"/>
        <v>0</v>
      </c>
      <c r="I31" s="3">
        <f t="shared" si="17"/>
        <v>0</v>
      </c>
      <c r="J31" s="3">
        <f t="shared" si="18"/>
        <v>0</v>
      </c>
      <c r="K31" s="3">
        <f t="shared" si="19"/>
        <v>0</v>
      </c>
      <c r="L31" s="3">
        <f t="shared" si="20"/>
        <v>0</v>
      </c>
      <c r="M31" s="7"/>
      <c r="N31" s="3" t="str">
        <f t="shared" si="10"/>
        <v/>
      </c>
    </row>
    <row r="32" spans="1:14" x14ac:dyDescent="0.25">
      <c r="A32" s="3" t="str">
        <f>IF(AND(MarketWatch!A32&lt;&gt;"",MarketWatch!B32&lt;&gt;""),MarketWatch!A32,"")</f>
        <v/>
      </c>
      <c r="B32" s="3" t="str">
        <f>IF(A32="","",UPPER(MarketWatch!B32))</f>
        <v/>
      </c>
      <c r="C32" s="3">
        <f t="shared" si="11"/>
        <v>0</v>
      </c>
      <c r="D32" s="3">
        <f t="shared" si="12"/>
        <v>0</v>
      </c>
      <c r="E32" s="3">
        <f t="shared" si="13"/>
        <v>0</v>
      </c>
      <c r="F32" s="3">
        <f t="shared" si="14"/>
        <v>0</v>
      </c>
      <c r="G32" s="3">
        <f t="shared" si="15"/>
        <v>0</v>
      </c>
      <c r="H32" s="3">
        <f t="shared" si="16"/>
        <v>0</v>
      </c>
      <c r="I32" s="3">
        <f t="shared" si="17"/>
        <v>0</v>
      </c>
      <c r="J32" s="3">
        <f t="shared" si="18"/>
        <v>0</v>
      </c>
      <c r="K32" s="3">
        <f t="shared" si="19"/>
        <v>0</v>
      </c>
      <c r="L32" s="3">
        <f t="shared" si="20"/>
        <v>0</v>
      </c>
      <c r="M32" s="7"/>
      <c r="N32" s="3" t="str">
        <f t="shared" si="10"/>
        <v/>
      </c>
    </row>
    <row r="33" spans="1:14" x14ac:dyDescent="0.25">
      <c r="A33" s="3" t="str">
        <f>IF(AND(MarketWatch!A33&lt;&gt;"",MarketWatch!B33&lt;&gt;""),MarketWatch!A33,"")</f>
        <v/>
      </c>
      <c r="B33" s="3" t="str">
        <f>IF(A33="","",UPPER(MarketWatch!B33))</f>
        <v/>
      </c>
      <c r="C33" s="3">
        <f t="shared" si="11"/>
        <v>0</v>
      </c>
      <c r="D33" s="3">
        <f t="shared" si="12"/>
        <v>0</v>
      </c>
      <c r="E33" s="3">
        <f t="shared" si="13"/>
        <v>0</v>
      </c>
      <c r="F33" s="3">
        <f t="shared" si="14"/>
        <v>0</v>
      </c>
      <c r="G33" s="3">
        <f t="shared" si="15"/>
        <v>0</v>
      </c>
      <c r="H33" s="3">
        <f t="shared" si="16"/>
        <v>0</v>
      </c>
      <c r="I33" s="3">
        <f t="shared" si="17"/>
        <v>0</v>
      </c>
      <c r="J33" s="3">
        <f t="shared" si="18"/>
        <v>0</v>
      </c>
      <c r="K33" s="3">
        <f t="shared" si="19"/>
        <v>0</v>
      </c>
      <c r="L33" s="3">
        <f t="shared" si="20"/>
        <v>0</v>
      </c>
      <c r="M33" s="7"/>
      <c r="N33" s="3" t="str">
        <f t="shared" si="10"/>
        <v/>
      </c>
    </row>
    <row r="34" spans="1:14" x14ac:dyDescent="0.25">
      <c r="A34" s="3" t="str">
        <f>IF(AND(MarketWatch!A34&lt;&gt;"",MarketWatch!B34&lt;&gt;""),MarketWatch!A34,"")</f>
        <v/>
      </c>
      <c r="B34" s="3" t="str">
        <f>IF(A34="","",UPPER(MarketWatch!B34))</f>
        <v/>
      </c>
      <c r="C34" s="3">
        <f t="shared" si="11"/>
        <v>0</v>
      </c>
      <c r="D34" s="3">
        <f t="shared" si="12"/>
        <v>0</v>
      </c>
      <c r="E34" s="3">
        <f t="shared" si="13"/>
        <v>0</v>
      </c>
      <c r="F34" s="3">
        <f t="shared" si="14"/>
        <v>0</v>
      </c>
      <c r="G34" s="3">
        <f t="shared" si="15"/>
        <v>0</v>
      </c>
      <c r="H34" s="3">
        <f t="shared" si="16"/>
        <v>0</v>
      </c>
      <c r="I34" s="3">
        <f t="shared" si="17"/>
        <v>0</v>
      </c>
      <c r="J34" s="3">
        <f t="shared" si="18"/>
        <v>0</v>
      </c>
      <c r="K34" s="3">
        <f t="shared" si="19"/>
        <v>0</v>
      </c>
      <c r="L34" s="3">
        <f t="shared" si="20"/>
        <v>0</v>
      </c>
      <c r="M34" s="7"/>
      <c r="N34" s="3" t="str">
        <f t="shared" si="10"/>
        <v/>
      </c>
    </row>
    <row r="35" spans="1:14" x14ac:dyDescent="0.25">
      <c r="A35" s="3" t="str">
        <f>IF(AND(MarketWatch!A35&lt;&gt;"",MarketWatch!B35&lt;&gt;""),MarketWatch!A35,"")</f>
        <v/>
      </c>
      <c r="B35" s="3" t="str">
        <f>IF(A35="","",UPPER(MarketWatch!B35))</f>
        <v/>
      </c>
      <c r="C35" s="3">
        <f t="shared" si="11"/>
        <v>0</v>
      </c>
      <c r="D35" s="3">
        <f t="shared" si="12"/>
        <v>0</v>
      </c>
      <c r="E35" s="3">
        <f t="shared" si="13"/>
        <v>0</v>
      </c>
      <c r="F35" s="3">
        <f t="shared" si="14"/>
        <v>0</v>
      </c>
      <c r="G35" s="3">
        <f t="shared" si="15"/>
        <v>0</v>
      </c>
      <c r="H35" s="3">
        <f t="shared" si="16"/>
        <v>0</v>
      </c>
      <c r="I35" s="3">
        <f t="shared" si="17"/>
        <v>0</v>
      </c>
      <c r="J35" s="3">
        <f t="shared" si="18"/>
        <v>0</v>
      </c>
      <c r="K35" s="3">
        <f t="shared" si="19"/>
        <v>0</v>
      </c>
      <c r="L35" s="3">
        <f t="shared" si="20"/>
        <v>0</v>
      </c>
      <c r="M35" s="7"/>
      <c r="N35" s="3" t="str">
        <f t="shared" si="10"/>
        <v/>
      </c>
    </row>
    <row r="36" spans="1:14" x14ac:dyDescent="0.25">
      <c r="A36" s="3" t="str">
        <f>IF(AND(MarketWatch!A36&lt;&gt;"",MarketWatch!B36&lt;&gt;""),MarketWatch!A36,"")</f>
        <v/>
      </c>
      <c r="B36" s="3" t="str">
        <f>IF(A36="","",UPPER(MarketWatch!B36))</f>
        <v/>
      </c>
      <c r="C36" s="3">
        <f t="shared" si="11"/>
        <v>0</v>
      </c>
      <c r="D36" s="3">
        <f t="shared" si="12"/>
        <v>0</v>
      </c>
      <c r="E36" s="3">
        <f t="shared" si="13"/>
        <v>0</v>
      </c>
      <c r="F36" s="3">
        <f t="shared" si="14"/>
        <v>0</v>
      </c>
      <c r="G36" s="3">
        <f t="shared" si="15"/>
        <v>0</v>
      </c>
      <c r="H36" s="3">
        <f t="shared" si="16"/>
        <v>0</v>
      </c>
      <c r="I36" s="3">
        <f t="shared" si="17"/>
        <v>0</v>
      </c>
      <c r="J36" s="3">
        <f t="shared" si="18"/>
        <v>0</v>
      </c>
      <c r="K36" s="3">
        <f t="shared" si="19"/>
        <v>0</v>
      </c>
      <c r="L36" s="3">
        <f t="shared" si="20"/>
        <v>0</v>
      </c>
      <c r="M36" s="7"/>
      <c r="N36" s="3" t="str">
        <f t="shared" si="10"/>
        <v/>
      </c>
    </row>
    <row r="37" spans="1:14" x14ac:dyDescent="0.25">
      <c r="A37" s="3" t="str">
        <f>IF(AND(MarketWatch!A37&lt;&gt;"",MarketWatch!B37&lt;&gt;""),MarketWatch!A37,"")</f>
        <v/>
      </c>
      <c r="B37" s="3" t="str">
        <f>IF(A37="","",UPPER(MarketWatch!B37))</f>
        <v/>
      </c>
      <c r="C37" s="3">
        <f t="shared" si="11"/>
        <v>0</v>
      </c>
      <c r="D37" s="3">
        <f t="shared" si="12"/>
        <v>0</v>
      </c>
      <c r="E37" s="3">
        <f t="shared" si="13"/>
        <v>0</v>
      </c>
      <c r="F37" s="3">
        <f t="shared" si="14"/>
        <v>0</v>
      </c>
      <c r="G37" s="3">
        <f t="shared" si="15"/>
        <v>0</v>
      </c>
      <c r="H37" s="3">
        <f t="shared" si="16"/>
        <v>0</v>
      </c>
      <c r="I37" s="3">
        <f t="shared" si="17"/>
        <v>0</v>
      </c>
      <c r="J37" s="3">
        <f t="shared" si="18"/>
        <v>0</v>
      </c>
      <c r="K37" s="3">
        <f t="shared" si="19"/>
        <v>0</v>
      </c>
      <c r="L37" s="3">
        <f t="shared" si="20"/>
        <v>0</v>
      </c>
      <c r="M37" s="7"/>
      <c r="N37" s="3" t="str">
        <f t="shared" si="10"/>
        <v/>
      </c>
    </row>
    <row r="38" spans="1:14" x14ac:dyDescent="0.25">
      <c r="A38" s="3" t="str">
        <f>IF(AND(MarketWatch!A38&lt;&gt;"",MarketWatch!B38&lt;&gt;""),MarketWatch!A38,"")</f>
        <v/>
      </c>
      <c r="B38" s="3" t="str">
        <f>IF(A38="","",UPPER(MarketWatch!B38))</f>
        <v/>
      </c>
      <c r="C38" s="3">
        <f t="shared" si="11"/>
        <v>0</v>
      </c>
      <c r="D38" s="3">
        <f t="shared" si="12"/>
        <v>0</v>
      </c>
      <c r="E38" s="3">
        <f t="shared" si="13"/>
        <v>0</v>
      </c>
      <c r="F38" s="3">
        <f t="shared" si="14"/>
        <v>0</v>
      </c>
      <c r="G38" s="3">
        <f t="shared" si="15"/>
        <v>0</v>
      </c>
      <c r="H38" s="3">
        <f t="shared" si="16"/>
        <v>0</v>
      </c>
      <c r="I38" s="3">
        <f t="shared" si="17"/>
        <v>0</v>
      </c>
      <c r="J38" s="3">
        <f t="shared" si="18"/>
        <v>0</v>
      </c>
      <c r="K38" s="3">
        <f t="shared" si="19"/>
        <v>0</v>
      </c>
      <c r="L38" s="3">
        <f t="shared" si="20"/>
        <v>0</v>
      </c>
      <c r="M38" s="7"/>
      <c r="N38" s="3" t="str">
        <f t="shared" si="10"/>
        <v/>
      </c>
    </row>
    <row r="39" spans="1:14" x14ac:dyDescent="0.25">
      <c r="A39" s="3" t="str">
        <f>IF(AND(MarketWatch!A39&lt;&gt;"",MarketWatch!B39&lt;&gt;""),MarketWatch!A39,"")</f>
        <v/>
      </c>
      <c r="B39" s="3" t="str">
        <f>IF(A39="","",UPPER(MarketWatch!B39))</f>
        <v/>
      </c>
      <c r="C39" s="3">
        <f t="shared" si="11"/>
        <v>0</v>
      </c>
      <c r="D39" s="3">
        <f t="shared" si="12"/>
        <v>0</v>
      </c>
      <c r="E39" s="3">
        <f t="shared" si="13"/>
        <v>0</v>
      </c>
      <c r="F39" s="3">
        <f t="shared" si="14"/>
        <v>0</v>
      </c>
      <c r="G39" s="3">
        <f t="shared" si="15"/>
        <v>0</v>
      </c>
      <c r="H39" s="3">
        <f t="shared" si="16"/>
        <v>0</v>
      </c>
      <c r="I39" s="3">
        <f t="shared" si="17"/>
        <v>0</v>
      </c>
      <c r="J39" s="3">
        <f t="shared" si="18"/>
        <v>0</v>
      </c>
      <c r="K39" s="3">
        <f t="shared" si="19"/>
        <v>0</v>
      </c>
      <c r="L39" s="3">
        <f t="shared" si="20"/>
        <v>0</v>
      </c>
      <c r="M39" s="7"/>
      <c r="N39" s="3" t="str">
        <f t="shared" si="10"/>
        <v/>
      </c>
    </row>
    <row r="40" spans="1:14" x14ac:dyDescent="0.25">
      <c r="A40" s="3" t="str">
        <f>IF(AND(MarketWatch!A40&lt;&gt;"",MarketWatch!B40&lt;&gt;""),MarketWatch!A40,"")</f>
        <v/>
      </c>
      <c r="B40" s="3" t="str">
        <f>IF(A40="","",UPPER(MarketWatch!B40))</f>
        <v/>
      </c>
      <c r="C40" s="3">
        <f t="shared" si="11"/>
        <v>0</v>
      </c>
      <c r="D40" s="3">
        <f t="shared" si="12"/>
        <v>0</v>
      </c>
      <c r="E40" s="3">
        <f t="shared" si="13"/>
        <v>0</v>
      </c>
      <c r="F40" s="3">
        <f t="shared" si="14"/>
        <v>0</v>
      </c>
      <c r="G40" s="3">
        <f t="shared" si="15"/>
        <v>0</v>
      </c>
      <c r="H40" s="3">
        <f t="shared" si="16"/>
        <v>0</v>
      </c>
      <c r="I40" s="3">
        <f t="shared" si="17"/>
        <v>0</v>
      </c>
      <c r="J40" s="3">
        <f t="shared" si="18"/>
        <v>0</v>
      </c>
      <c r="K40" s="3">
        <f t="shared" si="19"/>
        <v>0</v>
      </c>
      <c r="L40" s="3">
        <f t="shared" si="20"/>
        <v>0</v>
      </c>
      <c r="M40" s="7"/>
      <c r="N40" s="3" t="str">
        <f t="shared" si="10"/>
        <v/>
      </c>
    </row>
    <row r="41" spans="1:14" x14ac:dyDescent="0.25">
      <c r="A41" s="3" t="str">
        <f>IF(AND(MarketWatch!A41&lt;&gt;"",MarketWatch!B41&lt;&gt;""),MarketWatch!A41,"")</f>
        <v/>
      </c>
      <c r="B41" s="3" t="str">
        <f>IF(A41="","",UPPER(MarketWatch!B41))</f>
        <v/>
      </c>
      <c r="C41" s="3">
        <f t="shared" si="11"/>
        <v>0</v>
      </c>
      <c r="D41" s="3">
        <f t="shared" si="12"/>
        <v>0</v>
      </c>
      <c r="E41" s="3">
        <f t="shared" si="13"/>
        <v>0</v>
      </c>
      <c r="F41" s="3">
        <f t="shared" si="14"/>
        <v>0</v>
      </c>
      <c r="G41" s="3">
        <f t="shared" si="15"/>
        <v>0</v>
      </c>
      <c r="H41" s="3">
        <f t="shared" si="16"/>
        <v>0</v>
      </c>
      <c r="I41" s="3">
        <f t="shared" si="17"/>
        <v>0</v>
      </c>
      <c r="J41" s="3">
        <f t="shared" si="18"/>
        <v>0</v>
      </c>
      <c r="K41" s="3">
        <f t="shared" si="19"/>
        <v>0</v>
      </c>
      <c r="L41" s="3">
        <f t="shared" si="20"/>
        <v>0</v>
      </c>
      <c r="M41" s="7"/>
      <c r="N41" s="3" t="str">
        <f t="shared" si="10"/>
        <v/>
      </c>
    </row>
    <row r="42" spans="1:14" x14ac:dyDescent="0.25">
      <c r="A42" s="3" t="str">
        <f>IF(AND(MarketWatch!A42&lt;&gt;"",MarketWatch!B42&lt;&gt;""),MarketWatch!A42,"")</f>
        <v/>
      </c>
      <c r="B42" s="3" t="str">
        <f>IF(A42="","",UPPER(MarketWatch!B42))</f>
        <v/>
      </c>
      <c r="C42" s="3">
        <f t="shared" si="11"/>
        <v>0</v>
      </c>
      <c r="D42" s="3">
        <f t="shared" si="12"/>
        <v>0</v>
      </c>
      <c r="E42" s="3">
        <f t="shared" si="13"/>
        <v>0</v>
      </c>
      <c r="F42" s="3">
        <f t="shared" si="14"/>
        <v>0</v>
      </c>
      <c r="G42" s="3">
        <f t="shared" si="15"/>
        <v>0</v>
      </c>
      <c r="H42" s="3">
        <f t="shared" si="16"/>
        <v>0</v>
      </c>
      <c r="I42" s="3">
        <f t="shared" si="17"/>
        <v>0</v>
      </c>
      <c r="J42" s="3">
        <f t="shared" si="18"/>
        <v>0</v>
      </c>
      <c r="K42" s="3">
        <f t="shared" si="19"/>
        <v>0</v>
      </c>
      <c r="L42" s="3">
        <f t="shared" si="20"/>
        <v>0</v>
      </c>
      <c r="M42" s="7"/>
      <c r="N42" s="3" t="str">
        <f t="shared" si="10"/>
        <v/>
      </c>
    </row>
    <row r="43" spans="1:14" x14ac:dyDescent="0.25">
      <c r="A43" s="3" t="str">
        <f>IF(AND(MarketWatch!A43&lt;&gt;"",MarketWatch!B43&lt;&gt;""),MarketWatch!A43,"")</f>
        <v/>
      </c>
      <c r="B43" s="3" t="str">
        <f>IF(A43="","",UPPER(MarketWatch!B43))</f>
        <v/>
      </c>
      <c r="C43" s="3">
        <f t="shared" si="11"/>
        <v>0</v>
      </c>
      <c r="D43" s="3">
        <f t="shared" si="12"/>
        <v>0</v>
      </c>
      <c r="E43" s="3">
        <f t="shared" si="13"/>
        <v>0</v>
      </c>
      <c r="F43" s="3">
        <f t="shared" si="14"/>
        <v>0</v>
      </c>
      <c r="G43" s="3">
        <f t="shared" si="15"/>
        <v>0</v>
      </c>
      <c r="H43" s="3">
        <f t="shared" si="16"/>
        <v>0</v>
      </c>
      <c r="I43" s="3">
        <f t="shared" si="17"/>
        <v>0</v>
      </c>
      <c r="J43" s="3">
        <f t="shared" si="18"/>
        <v>0</v>
      </c>
      <c r="K43" s="3">
        <f t="shared" si="19"/>
        <v>0</v>
      </c>
      <c r="L43" s="3">
        <f t="shared" si="20"/>
        <v>0</v>
      </c>
      <c r="M43" s="7"/>
      <c r="N43" s="3" t="str">
        <f t="shared" si="10"/>
        <v/>
      </c>
    </row>
    <row r="44" spans="1:14" x14ac:dyDescent="0.25">
      <c r="A44" s="3" t="str">
        <f>IF(AND(MarketWatch!A44&lt;&gt;"",MarketWatch!B44&lt;&gt;""),MarketWatch!A44,"")</f>
        <v/>
      </c>
      <c r="B44" s="3" t="str">
        <f>IF(A44="","",UPPER(MarketWatch!B44))</f>
        <v/>
      </c>
      <c r="C44" s="3">
        <f t="shared" si="11"/>
        <v>0</v>
      </c>
      <c r="D44" s="3">
        <f t="shared" si="12"/>
        <v>0</v>
      </c>
      <c r="E44" s="3">
        <f t="shared" si="13"/>
        <v>0</v>
      </c>
      <c r="F44" s="3">
        <f t="shared" si="14"/>
        <v>0</v>
      </c>
      <c r="G44" s="3">
        <f t="shared" si="15"/>
        <v>0</v>
      </c>
      <c r="H44" s="3">
        <f t="shared" si="16"/>
        <v>0</v>
      </c>
      <c r="I44" s="3">
        <f t="shared" si="17"/>
        <v>0</v>
      </c>
      <c r="J44" s="3">
        <f t="shared" si="18"/>
        <v>0</v>
      </c>
      <c r="K44" s="3">
        <f t="shared" si="19"/>
        <v>0</v>
      </c>
      <c r="L44" s="3">
        <f t="shared" si="20"/>
        <v>0</v>
      </c>
      <c r="M44" s="7"/>
      <c r="N44" s="3" t="str">
        <f t="shared" si="10"/>
        <v/>
      </c>
    </row>
    <row r="45" spans="1:14" x14ac:dyDescent="0.25">
      <c r="A45" s="3" t="str">
        <f>IF(AND(MarketWatch!A45&lt;&gt;"",MarketWatch!B45&lt;&gt;""),MarketWatch!A45,"")</f>
        <v/>
      </c>
      <c r="B45" s="3" t="str">
        <f>IF(A45="","",UPPER(MarketWatch!B45))</f>
        <v/>
      </c>
      <c r="C45" s="3">
        <f t="shared" si="11"/>
        <v>0</v>
      </c>
      <c r="D45" s="3">
        <f t="shared" si="12"/>
        <v>0</v>
      </c>
      <c r="E45" s="3">
        <f t="shared" si="13"/>
        <v>0</v>
      </c>
      <c r="F45" s="3">
        <f t="shared" si="14"/>
        <v>0</v>
      </c>
      <c r="G45" s="3">
        <f t="shared" si="15"/>
        <v>0</v>
      </c>
      <c r="H45" s="3">
        <f t="shared" si="16"/>
        <v>0</v>
      </c>
      <c r="I45" s="3">
        <f t="shared" si="17"/>
        <v>0</v>
      </c>
      <c r="J45" s="3">
        <f t="shared" si="18"/>
        <v>0</v>
      </c>
      <c r="K45" s="3">
        <f t="shared" si="19"/>
        <v>0</v>
      </c>
      <c r="L45" s="3">
        <f t="shared" si="20"/>
        <v>0</v>
      </c>
      <c r="M45" s="7"/>
      <c r="N45" s="3" t="str">
        <f t="shared" si="10"/>
        <v/>
      </c>
    </row>
    <row r="46" spans="1:14" x14ac:dyDescent="0.25">
      <c r="A46" s="3" t="str">
        <f>IF(AND(MarketWatch!A46&lt;&gt;"",MarketWatch!B46&lt;&gt;""),MarketWatch!A46,"")</f>
        <v/>
      </c>
      <c r="B46" s="3" t="str">
        <f>IF(A46="","",UPPER(MarketWatch!B46))</f>
        <v/>
      </c>
      <c r="C46" s="3">
        <f t="shared" si="11"/>
        <v>0</v>
      </c>
      <c r="D46" s="3">
        <f t="shared" si="12"/>
        <v>0</v>
      </c>
      <c r="E46" s="3">
        <f t="shared" si="13"/>
        <v>0</v>
      </c>
      <c r="F46" s="3">
        <f t="shared" si="14"/>
        <v>0</v>
      </c>
      <c r="G46" s="3">
        <f t="shared" si="15"/>
        <v>0</v>
      </c>
      <c r="H46" s="3">
        <f t="shared" si="16"/>
        <v>0</v>
      </c>
      <c r="I46" s="3">
        <f t="shared" si="17"/>
        <v>0</v>
      </c>
      <c r="J46" s="3">
        <f t="shared" si="18"/>
        <v>0</v>
      </c>
      <c r="K46" s="3">
        <f t="shared" si="19"/>
        <v>0</v>
      </c>
      <c r="L46" s="3">
        <f t="shared" si="20"/>
        <v>0</v>
      </c>
      <c r="M46" s="7"/>
      <c r="N46" s="3" t="str">
        <f t="shared" si="10"/>
        <v/>
      </c>
    </row>
    <row r="47" spans="1:14" x14ac:dyDescent="0.25">
      <c r="A47" s="3" t="str">
        <f>IF(AND(MarketWatch!A47&lt;&gt;"",MarketWatch!B47&lt;&gt;""),MarketWatch!A47,"")</f>
        <v/>
      </c>
      <c r="B47" s="3" t="str">
        <f>IF(A47="","",UPPER(MarketWatch!B47))</f>
        <v/>
      </c>
      <c r="C47" s="3">
        <f t="shared" si="11"/>
        <v>0</v>
      </c>
      <c r="D47" s="3">
        <f t="shared" si="12"/>
        <v>0</v>
      </c>
      <c r="E47" s="3">
        <f t="shared" si="13"/>
        <v>0</v>
      </c>
      <c r="F47" s="3">
        <f t="shared" si="14"/>
        <v>0</v>
      </c>
      <c r="G47" s="3">
        <f t="shared" si="15"/>
        <v>0</v>
      </c>
      <c r="H47" s="3">
        <f t="shared" si="16"/>
        <v>0</v>
      </c>
      <c r="I47" s="3">
        <f t="shared" si="17"/>
        <v>0</v>
      </c>
      <c r="J47" s="3">
        <f t="shared" si="18"/>
        <v>0</v>
      </c>
      <c r="K47" s="3">
        <f t="shared" si="19"/>
        <v>0</v>
      </c>
      <c r="L47" s="3">
        <f t="shared" si="20"/>
        <v>0</v>
      </c>
      <c r="M47" s="7"/>
      <c r="N47" s="3" t="str">
        <f t="shared" si="10"/>
        <v/>
      </c>
    </row>
    <row r="48" spans="1:14" x14ac:dyDescent="0.25">
      <c r="A48" s="3" t="str">
        <f>IF(AND(MarketWatch!A48&lt;&gt;"",MarketWatch!B48&lt;&gt;""),MarketWatch!A48,"")</f>
        <v/>
      </c>
      <c r="B48" s="3" t="str">
        <f>IF(A48="","",UPPER(MarketWatch!B48))</f>
        <v/>
      </c>
      <c r="C48" s="3">
        <f t="shared" si="11"/>
        <v>0</v>
      </c>
      <c r="D48" s="3">
        <f t="shared" si="12"/>
        <v>0</v>
      </c>
      <c r="E48" s="3">
        <f t="shared" si="13"/>
        <v>0</v>
      </c>
      <c r="F48" s="3">
        <f t="shared" si="14"/>
        <v>0</v>
      </c>
      <c r="G48" s="3">
        <f t="shared" si="15"/>
        <v>0</v>
      </c>
      <c r="H48" s="3">
        <f t="shared" si="16"/>
        <v>0</v>
      </c>
      <c r="I48" s="3">
        <f t="shared" si="17"/>
        <v>0</v>
      </c>
      <c r="J48" s="3">
        <f t="shared" si="18"/>
        <v>0</v>
      </c>
      <c r="K48" s="3">
        <f t="shared" si="19"/>
        <v>0</v>
      </c>
      <c r="L48" s="3">
        <f t="shared" si="20"/>
        <v>0</v>
      </c>
      <c r="M48" s="7"/>
      <c r="N48" s="3" t="str">
        <f t="shared" si="10"/>
        <v/>
      </c>
    </row>
    <row r="49" spans="1:14" x14ac:dyDescent="0.25">
      <c r="A49" s="3" t="str">
        <f>IF(AND(MarketWatch!A49&lt;&gt;"",MarketWatch!B49&lt;&gt;""),MarketWatch!A49,"")</f>
        <v/>
      </c>
      <c r="B49" s="3" t="str">
        <f>IF(A49="","",UPPER(MarketWatch!B49))</f>
        <v/>
      </c>
      <c r="C49" s="3">
        <f t="shared" si="11"/>
        <v>0</v>
      </c>
      <c r="D49" s="3">
        <f t="shared" si="12"/>
        <v>0</v>
      </c>
      <c r="E49" s="3">
        <f t="shared" si="13"/>
        <v>0</v>
      </c>
      <c r="F49" s="3">
        <f t="shared" si="14"/>
        <v>0</v>
      </c>
      <c r="G49" s="3">
        <f t="shared" si="15"/>
        <v>0</v>
      </c>
      <c r="H49" s="3">
        <f t="shared" si="16"/>
        <v>0</v>
      </c>
      <c r="I49" s="3">
        <f t="shared" si="17"/>
        <v>0</v>
      </c>
      <c r="J49" s="3">
        <f t="shared" si="18"/>
        <v>0</v>
      </c>
      <c r="K49" s="3">
        <f t="shared" si="19"/>
        <v>0</v>
      </c>
      <c r="L49" s="3">
        <f t="shared" si="20"/>
        <v>0</v>
      </c>
      <c r="M49" s="7"/>
      <c r="N49" s="3" t="str">
        <f t="shared" si="10"/>
        <v/>
      </c>
    </row>
    <row r="50" spans="1:14" x14ac:dyDescent="0.25">
      <c r="A50" s="3" t="str">
        <f>IF(AND(MarketWatch!A50&lt;&gt;"",MarketWatch!B50&lt;&gt;""),MarketWatch!A50,"")</f>
        <v/>
      </c>
      <c r="B50" s="3" t="str">
        <f>IF(A50="","",UPPER(MarketWatch!B50))</f>
        <v/>
      </c>
      <c r="C50" s="3">
        <f t="shared" si="11"/>
        <v>0</v>
      </c>
      <c r="D50" s="3">
        <f t="shared" si="12"/>
        <v>0</v>
      </c>
      <c r="E50" s="3">
        <f t="shared" si="13"/>
        <v>0</v>
      </c>
      <c r="F50" s="3">
        <f t="shared" si="14"/>
        <v>0</v>
      </c>
      <c r="G50" s="3">
        <f t="shared" si="15"/>
        <v>0</v>
      </c>
      <c r="H50" s="3">
        <f t="shared" si="16"/>
        <v>0</v>
      </c>
      <c r="I50" s="3">
        <f t="shared" si="17"/>
        <v>0</v>
      </c>
      <c r="J50" s="3">
        <f t="shared" si="18"/>
        <v>0</v>
      </c>
      <c r="K50" s="3">
        <f t="shared" si="19"/>
        <v>0</v>
      </c>
      <c r="L50" s="3">
        <f t="shared" si="20"/>
        <v>0</v>
      </c>
      <c r="M50" s="7"/>
      <c r="N50" s="3" t="str">
        <f t="shared" si="10"/>
        <v/>
      </c>
    </row>
    <row r="51" spans="1:14" x14ac:dyDescent="0.25">
      <c r="A51" s="3" t="str">
        <f>IF(AND(MarketWatch!A51&lt;&gt;"",MarketWatch!B51&lt;&gt;""),MarketWatch!A51,"")</f>
        <v/>
      </c>
      <c r="B51" s="3" t="str">
        <f>IF(A51="","",UPPER(MarketWatch!B51))</f>
        <v/>
      </c>
      <c r="C51" s="3">
        <f t="shared" si="11"/>
        <v>0</v>
      </c>
      <c r="D51" s="3">
        <f t="shared" si="12"/>
        <v>0</v>
      </c>
      <c r="E51" s="3">
        <f t="shared" si="13"/>
        <v>0</v>
      </c>
      <c r="F51" s="3">
        <f t="shared" si="14"/>
        <v>0</v>
      </c>
      <c r="G51" s="3">
        <f t="shared" si="15"/>
        <v>0</v>
      </c>
      <c r="H51" s="3">
        <f t="shared" si="16"/>
        <v>0</v>
      </c>
      <c r="I51" s="3">
        <f t="shared" si="17"/>
        <v>0</v>
      </c>
      <c r="J51" s="3">
        <f t="shared" si="18"/>
        <v>0</v>
      </c>
      <c r="K51" s="3">
        <f t="shared" si="19"/>
        <v>0</v>
      </c>
      <c r="L51" s="3">
        <f t="shared" si="20"/>
        <v>0</v>
      </c>
      <c r="M51" s="7"/>
      <c r="N51" s="3" t="str">
        <f t="shared" si="10"/>
        <v/>
      </c>
    </row>
  </sheetData>
  <sheetProtection password="C6A3" sheet="1" objects="1" scenarios="1"/>
  <hyperlinks>
    <hyperlink ref="P5" r:id="rId1" xr:uid="{00000000-0004-0000-0100-000000000000}"/>
    <hyperlink ref="P8" r:id="rId2" xr:uid="{00000000-0004-0000-01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73"/>
  <sheetViews>
    <sheetView showGridLines="0" workbookViewId="0">
      <selection activeCell="A224" sqref="A224"/>
    </sheetView>
  </sheetViews>
  <sheetFormatPr defaultColWidth="0" defaultRowHeight="14.25" zeroHeight="1" x14ac:dyDescent="0.2"/>
  <cols>
    <col min="1" max="1" width="96.7109375" style="1" customWidth="1"/>
    <col min="2" max="2" width="89.42578125" style="10" customWidth="1"/>
    <col min="3" max="16384" width="9.140625" style="1" hidden="1"/>
  </cols>
  <sheetData>
    <row r="1" spans="1:2" x14ac:dyDescent="0.2">
      <c r="A1" s="8" t="s">
        <v>20</v>
      </c>
      <c r="B1" s="9" t="s">
        <v>39</v>
      </c>
    </row>
    <row r="2" spans="1:2" x14ac:dyDescent="0.2">
      <c r="A2" s="1" t="s">
        <v>21</v>
      </c>
    </row>
    <row r="3" spans="1:2" x14ac:dyDescent="0.2">
      <c r="A3" s="1" t="s">
        <v>36</v>
      </c>
      <c r="B3" s="11" t="s">
        <v>40</v>
      </c>
    </row>
    <row r="4" spans="1:2" x14ac:dyDescent="0.2"/>
    <row r="5" spans="1:2" x14ac:dyDescent="0.2">
      <c r="A5" s="8" t="s">
        <v>22</v>
      </c>
      <c r="B5" s="12" t="s">
        <v>41</v>
      </c>
    </row>
    <row r="6" spans="1:2" x14ac:dyDescent="0.2">
      <c r="A6" s="1" t="s">
        <v>23</v>
      </c>
      <c r="B6" s="12" t="s">
        <v>42</v>
      </c>
    </row>
    <row r="7" spans="1:2" x14ac:dyDescent="0.2">
      <c r="A7" s="1" t="s">
        <v>24</v>
      </c>
    </row>
    <row r="8" spans="1:2" x14ac:dyDescent="0.2">
      <c r="A8" s="1" t="s">
        <v>26</v>
      </c>
      <c r="B8" s="13" t="s">
        <v>43</v>
      </c>
    </row>
    <row r="9" spans="1:2" x14ac:dyDescent="0.2">
      <c r="A9" s="1" t="s">
        <v>27</v>
      </c>
      <c r="B9" s="13" t="s">
        <v>44</v>
      </c>
    </row>
    <row r="10" spans="1:2" x14ac:dyDescent="0.2">
      <c r="A10" s="1" t="s">
        <v>28</v>
      </c>
      <c r="B10" s="13" t="s">
        <v>45</v>
      </c>
    </row>
    <row r="11" spans="1:2" x14ac:dyDescent="0.2">
      <c r="A11" s="1" t="s">
        <v>29</v>
      </c>
    </row>
    <row r="12" spans="1:2" x14ac:dyDescent="0.2">
      <c r="A12" s="1" t="s">
        <v>30</v>
      </c>
      <c r="B12" s="15" t="s">
        <v>46</v>
      </c>
    </row>
    <row r="13" spans="1:2" x14ac:dyDescent="0.2">
      <c r="A13" s="1" t="s">
        <v>25</v>
      </c>
      <c r="B13" s="14" t="s">
        <v>47</v>
      </c>
    </row>
    <row r="14" spans="1:2" x14ac:dyDescent="0.2">
      <c r="A14" s="1" t="s">
        <v>31</v>
      </c>
    </row>
    <row r="15" spans="1:2" x14ac:dyDescent="0.2">
      <c r="B15" s="15" t="s">
        <v>48</v>
      </c>
    </row>
    <row r="16" spans="1:2" x14ac:dyDescent="0.2">
      <c r="A16" s="8" t="s">
        <v>32</v>
      </c>
      <c r="B16" s="11" t="s">
        <v>49</v>
      </c>
    </row>
    <row r="17" spans="1:1" x14ac:dyDescent="0.2">
      <c r="A17" s="1" t="s">
        <v>34</v>
      </c>
    </row>
    <row r="18" spans="1:1" x14ac:dyDescent="0.2">
      <c r="A18" s="1" t="s">
        <v>33</v>
      </c>
    </row>
    <row r="19" spans="1:1" x14ac:dyDescent="0.2"/>
    <row r="20" spans="1:1" x14ac:dyDescent="0.2">
      <c r="A20" s="8" t="s">
        <v>35</v>
      </c>
    </row>
    <row r="21" spans="1:1" x14ac:dyDescent="0.2">
      <c r="A21" s="1" t="s">
        <v>86</v>
      </c>
    </row>
    <row r="22" spans="1:1" x14ac:dyDescent="0.2">
      <c r="A22" s="1" t="s">
        <v>37</v>
      </c>
    </row>
    <row r="23" spans="1:1" x14ac:dyDescent="0.2">
      <c r="A23" s="1" t="s">
        <v>87</v>
      </c>
    </row>
    <row r="24" spans="1:1" x14ac:dyDescent="0.2">
      <c r="A24" s="1" t="s">
        <v>38</v>
      </c>
    </row>
    <row r="25" spans="1:1" x14ac:dyDescent="0.2">
      <c r="A25" s="1" t="s">
        <v>88</v>
      </c>
    </row>
    <row r="26" spans="1:1" x14ac:dyDescent="0.2">
      <c r="A26" s="1" t="s">
        <v>50</v>
      </c>
    </row>
    <row r="27" spans="1:1" x14ac:dyDescent="0.2"/>
    <row r="28" spans="1:1" x14ac:dyDescent="0.2">
      <c r="A28" s="8" t="s">
        <v>51</v>
      </c>
    </row>
    <row r="29" spans="1:1" x14ac:dyDescent="0.2">
      <c r="A29" s="1" t="s">
        <v>52</v>
      </c>
    </row>
    <row r="30" spans="1:1" x14ac:dyDescent="0.2">
      <c r="A30" s="1" t="s">
        <v>53</v>
      </c>
    </row>
    <row r="31" spans="1:1" x14ac:dyDescent="0.2">
      <c r="A31" s="16" t="s">
        <v>54</v>
      </c>
    </row>
    <row r="32" spans="1:1" x14ac:dyDescent="0.2">
      <c r="A32" s="1" t="s">
        <v>89</v>
      </c>
    </row>
    <row r="33" spans="1:1" x14ac:dyDescent="0.2">
      <c r="A33" s="1" t="s">
        <v>55</v>
      </c>
    </row>
    <row r="34" spans="1:1" x14ac:dyDescent="0.2">
      <c r="A34" s="1" t="s">
        <v>90</v>
      </c>
    </row>
    <row r="35" spans="1:1" x14ac:dyDescent="0.2">
      <c r="A35" s="1" t="s">
        <v>91</v>
      </c>
    </row>
    <row r="36" spans="1:1" x14ac:dyDescent="0.2">
      <c r="A36" s="1" t="s">
        <v>92</v>
      </c>
    </row>
    <row r="37" spans="1:1" x14ac:dyDescent="0.2">
      <c r="A37" s="1" t="s">
        <v>56</v>
      </c>
    </row>
    <row r="38" spans="1:1" x14ac:dyDescent="0.2">
      <c r="A38" s="1" t="s">
        <v>57</v>
      </c>
    </row>
    <row r="39" spans="1:1" x14ac:dyDescent="0.2">
      <c r="A39" s="1" t="s">
        <v>58</v>
      </c>
    </row>
    <row r="40" spans="1:1" x14ac:dyDescent="0.2"/>
    <row r="41" spans="1:1" x14ac:dyDescent="0.2"/>
    <row r="42" spans="1:1" x14ac:dyDescent="0.2"/>
    <row r="43" spans="1:1" x14ac:dyDescent="0.2"/>
    <row r="44" spans="1:1" x14ac:dyDescent="0.2"/>
    <row r="45" spans="1:1" x14ac:dyDescent="0.2"/>
    <row r="46" spans="1:1" x14ac:dyDescent="0.2"/>
    <row r="47" spans="1:1" x14ac:dyDescent="0.2"/>
    <row r="48" spans="1:1" x14ac:dyDescent="0.2"/>
    <row r="49" spans="1:1" x14ac:dyDescent="0.2"/>
    <row r="50" spans="1:1" x14ac:dyDescent="0.2"/>
    <row r="51" spans="1:1" x14ac:dyDescent="0.2"/>
    <row r="52" spans="1:1" x14ac:dyDescent="0.2"/>
    <row r="53" spans="1:1" x14ac:dyDescent="0.2"/>
    <row r="54" spans="1:1" x14ac:dyDescent="0.2"/>
    <row r="55" spans="1:1" x14ac:dyDescent="0.2"/>
    <row r="56" spans="1:1" x14ac:dyDescent="0.2"/>
    <row r="57" spans="1:1" x14ac:dyDescent="0.2"/>
    <row r="58" spans="1:1" x14ac:dyDescent="0.2"/>
    <row r="59" spans="1:1" x14ac:dyDescent="0.2"/>
    <row r="60" spans="1:1" x14ac:dyDescent="0.2"/>
    <row r="61" spans="1:1" x14ac:dyDescent="0.2"/>
    <row r="62" spans="1:1" x14ac:dyDescent="0.2"/>
    <row r="63" spans="1:1" x14ac:dyDescent="0.2"/>
    <row r="64" spans="1:1" x14ac:dyDescent="0.2">
      <c r="A64" s="1" t="s">
        <v>59</v>
      </c>
    </row>
    <row r="65" spans="1:1" x14ac:dyDescent="0.2">
      <c r="A65" s="16" t="s">
        <v>60</v>
      </c>
    </row>
    <row r="66" spans="1:1" x14ac:dyDescent="0.2">
      <c r="A66" s="1" t="s">
        <v>93</v>
      </c>
    </row>
    <row r="67" spans="1:1" x14ac:dyDescent="0.2">
      <c r="A67" s="1" t="s">
        <v>61</v>
      </c>
    </row>
    <row r="68" spans="1:1" x14ac:dyDescent="0.2"/>
    <row r="69" spans="1:1" x14ac:dyDescent="0.2"/>
    <row r="70" spans="1:1" x14ac:dyDescent="0.2"/>
    <row r="71" spans="1:1" x14ac:dyDescent="0.2"/>
    <row r="72" spans="1:1" x14ac:dyDescent="0.2"/>
    <row r="73" spans="1:1" x14ac:dyDescent="0.2"/>
    <row r="74" spans="1:1" x14ac:dyDescent="0.2"/>
    <row r="75" spans="1:1" x14ac:dyDescent="0.2"/>
    <row r="76" spans="1:1" x14ac:dyDescent="0.2"/>
    <row r="77" spans="1:1" x14ac:dyDescent="0.2"/>
    <row r="78" spans="1:1" x14ac:dyDescent="0.2"/>
    <row r="79" spans="1:1" x14ac:dyDescent="0.2"/>
    <row r="80" spans="1:1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spans="1:1" x14ac:dyDescent="0.2"/>
    <row r="98" spans="1:1" x14ac:dyDescent="0.2"/>
    <row r="99" spans="1:1" x14ac:dyDescent="0.2">
      <c r="A99" s="16" t="s">
        <v>62</v>
      </c>
    </row>
    <row r="100" spans="1:1" x14ac:dyDescent="0.2"/>
    <row r="101" spans="1:1" x14ac:dyDescent="0.2"/>
    <row r="102" spans="1:1" x14ac:dyDescent="0.2"/>
    <row r="103" spans="1:1" x14ac:dyDescent="0.2"/>
    <row r="104" spans="1:1" x14ac:dyDescent="0.2"/>
    <row r="105" spans="1:1" x14ac:dyDescent="0.2"/>
    <row r="106" spans="1:1" x14ac:dyDescent="0.2"/>
    <row r="107" spans="1:1" x14ac:dyDescent="0.2"/>
    <row r="108" spans="1:1" x14ac:dyDescent="0.2"/>
    <row r="109" spans="1:1" x14ac:dyDescent="0.2"/>
    <row r="110" spans="1:1" x14ac:dyDescent="0.2"/>
    <row r="111" spans="1:1" x14ac:dyDescent="0.2"/>
    <row r="112" spans="1:1" x14ac:dyDescent="0.2"/>
    <row r="113" spans="1:1" x14ac:dyDescent="0.2"/>
    <row r="114" spans="1:1" x14ac:dyDescent="0.2"/>
    <row r="115" spans="1:1" x14ac:dyDescent="0.2"/>
    <row r="116" spans="1:1" x14ac:dyDescent="0.2"/>
    <row r="117" spans="1:1" x14ac:dyDescent="0.2"/>
    <row r="118" spans="1:1" x14ac:dyDescent="0.2"/>
    <row r="119" spans="1:1" x14ac:dyDescent="0.2"/>
    <row r="120" spans="1:1" x14ac:dyDescent="0.2"/>
    <row r="121" spans="1:1" x14ac:dyDescent="0.2"/>
    <row r="122" spans="1:1" x14ac:dyDescent="0.2"/>
    <row r="123" spans="1:1" x14ac:dyDescent="0.2"/>
    <row r="124" spans="1:1" x14ac:dyDescent="0.2"/>
    <row r="125" spans="1:1" x14ac:dyDescent="0.2"/>
    <row r="126" spans="1:1" x14ac:dyDescent="0.2"/>
    <row r="127" spans="1:1" x14ac:dyDescent="0.2"/>
    <row r="128" spans="1:1" x14ac:dyDescent="0.2">
      <c r="A128" s="1" t="s">
        <v>63</v>
      </c>
    </row>
    <row r="129" spans="1:1" x14ac:dyDescent="0.2">
      <c r="A129" s="1" t="s">
        <v>64</v>
      </c>
    </row>
    <row r="130" spans="1:1" x14ac:dyDescent="0.2"/>
    <row r="131" spans="1:1" x14ac:dyDescent="0.2">
      <c r="A131" s="1" t="s">
        <v>65</v>
      </c>
    </row>
    <row r="132" spans="1:1" x14ac:dyDescent="0.2">
      <c r="A132" s="1" t="s">
        <v>94</v>
      </c>
    </row>
    <row r="133" spans="1:1" x14ac:dyDescent="0.2"/>
    <row r="134" spans="1:1" x14ac:dyDescent="0.2">
      <c r="A134" s="1" t="s">
        <v>66</v>
      </c>
    </row>
    <row r="135" spans="1:1" x14ac:dyDescent="0.2"/>
    <row r="136" spans="1:1" x14ac:dyDescent="0.2">
      <c r="A136" s="16" t="s">
        <v>67</v>
      </c>
    </row>
    <row r="137" spans="1:1" x14ac:dyDescent="0.2"/>
    <row r="138" spans="1:1" x14ac:dyDescent="0.2">
      <c r="A138" s="1" t="s">
        <v>68</v>
      </c>
    </row>
    <row r="139" spans="1:1" x14ac:dyDescent="0.2">
      <c r="A139" s="1" t="s">
        <v>69</v>
      </c>
    </row>
    <row r="140" spans="1:1" x14ac:dyDescent="0.2">
      <c r="A140" s="1" t="s">
        <v>70</v>
      </c>
    </row>
    <row r="141" spans="1:1" x14ac:dyDescent="0.2">
      <c r="A141" s="1" t="s">
        <v>71</v>
      </c>
    </row>
    <row r="142" spans="1:1" x14ac:dyDescent="0.2"/>
    <row r="143" spans="1:1" x14ac:dyDescent="0.2"/>
    <row r="144" spans="1:1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spans="1:1" x14ac:dyDescent="0.2"/>
    <row r="210" spans="1:1" x14ac:dyDescent="0.2"/>
    <row r="211" spans="1:1" x14ac:dyDescent="0.2"/>
    <row r="212" spans="1:1" x14ac:dyDescent="0.2">
      <c r="A212" s="1" t="s">
        <v>72</v>
      </c>
    </row>
    <row r="213" spans="1:1" x14ac:dyDescent="0.2">
      <c r="A213" s="1" t="s">
        <v>95</v>
      </c>
    </row>
    <row r="214" spans="1:1" x14ac:dyDescent="0.2">
      <c r="A214" s="1" t="s">
        <v>73</v>
      </c>
    </row>
    <row r="215" spans="1:1" x14ac:dyDescent="0.2">
      <c r="A215" s="1" t="s">
        <v>74</v>
      </c>
    </row>
    <row r="216" spans="1:1" x14ac:dyDescent="0.2">
      <c r="A216" s="1" t="s">
        <v>75</v>
      </c>
    </row>
    <row r="217" spans="1:1" x14ac:dyDescent="0.2">
      <c r="A217" s="1" t="s">
        <v>76</v>
      </c>
    </row>
    <row r="218" spans="1:1" x14ac:dyDescent="0.2"/>
    <row r="219" spans="1:1" x14ac:dyDescent="0.2">
      <c r="A219" s="1" t="s">
        <v>77</v>
      </c>
    </row>
    <row r="220" spans="1:1" x14ac:dyDescent="0.2">
      <c r="A220" s="1" t="s">
        <v>78</v>
      </c>
    </row>
    <row r="221" spans="1:1" x14ac:dyDescent="0.2"/>
    <row r="222" spans="1:1" x14ac:dyDescent="0.2">
      <c r="A222" s="16" t="s">
        <v>79</v>
      </c>
    </row>
    <row r="223" spans="1:1" x14ac:dyDescent="0.2"/>
    <row r="224" spans="1:1" x14ac:dyDescent="0.2">
      <c r="A224" s="1" t="s">
        <v>80</v>
      </c>
    </row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spans="1:1" x14ac:dyDescent="0.2"/>
    <row r="258" spans="1:1" x14ac:dyDescent="0.2"/>
    <row r="259" spans="1:1" x14ac:dyDescent="0.2"/>
    <row r="260" spans="1:1" x14ac:dyDescent="0.2"/>
    <row r="261" spans="1:1" x14ac:dyDescent="0.2"/>
    <row r="262" spans="1:1" x14ac:dyDescent="0.2"/>
    <row r="263" spans="1:1" x14ac:dyDescent="0.2"/>
    <row r="264" spans="1:1" x14ac:dyDescent="0.2">
      <c r="A264" s="1" t="s">
        <v>81</v>
      </c>
    </row>
    <row r="265" spans="1:1" x14ac:dyDescent="0.2"/>
    <row r="266" spans="1:1" x14ac:dyDescent="0.2">
      <c r="A266" s="1" t="s">
        <v>82</v>
      </c>
    </row>
    <row r="267" spans="1:1" x14ac:dyDescent="0.2">
      <c r="A267" s="1" t="s">
        <v>83</v>
      </c>
    </row>
    <row r="268" spans="1:1" x14ac:dyDescent="0.2"/>
    <row r="269" spans="1:1" x14ac:dyDescent="0.2">
      <c r="A269" s="1" t="s">
        <v>84</v>
      </c>
    </row>
    <row r="270" spans="1:1" x14ac:dyDescent="0.2"/>
    <row r="271" spans="1:1" x14ac:dyDescent="0.2">
      <c r="A271" s="1" t="s">
        <v>85</v>
      </c>
    </row>
    <row r="272" spans="1:1" ht="15" x14ac:dyDescent="0.25">
      <c r="A272" s="4" t="s">
        <v>99</v>
      </c>
    </row>
    <row r="273" x14ac:dyDescent="0.2"/>
  </sheetData>
  <sheetProtection password="C6A3" sheet="1" objects="1" scenarios="1"/>
  <hyperlinks>
    <hyperlink ref="A272" r:id="rId1" xr:uid="{00000000-0004-0000-0200-000000000000}"/>
  </hyperlinks>
  <pageMargins left="0.7" right="0.7" top="0.75" bottom="0.75" header="0.3" footer="0.3"/>
  <pageSetup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50</vt:i4>
      </vt:variant>
    </vt:vector>
  </HeadingPairs>
  <TitlesOfParts>
    <vt:vector size="53" baseType="lpstr">
      <vt:lpstr>MarketWatch</vt:lpstr>
      <vt:lpstr>DDE</vt:lpstr>
      <vt:lpstr>Instructions</vt:lpstr>
      <vt:lpstr>ICICIBANKEQ_Ask</vt:lpstr>
      <vt:lpstr>ICICIBANKEQ_AskSize</vt:lpstr>
      <vt:lpstr>ICICIBANKEQ_Bid</vt:lpstr>
      <vt:lpstr>ICICIBANKEQ_BidSize</vt:lpstr>
      <vt:lpstr>ICICIBANKEQ_High</vt:lpstr>
      <vt:lpstr>ICICIBANKEQ_Last</vt:lpstr>
      <vt:lpstr>ICICIBANKEQ_LastSize</vt:lpstr>
      <vt:lpstr>ICICIBANKEQ_Low</vt:lpstr>
      <vt:lpstr>ICICIBANKEQ_Open</vt:lpstr>
      <vt:lpstr>ICICIBANKEQ_Volume</vt:lpstr>
      <vt:lpstr>NIFTY16NOVFUT_Ask</vt:lpstr>
      <vt:lpstr>NIFTY16NOVFUT_AskSize</vt:lpstr>
      <vt:lpstr>NIFTY16NOVFUT_Bid</vt:lpstr>
      <vt:lpstr>NIFTY16NOVFUT_BidSize</vt:lpstr>
      <vt:lpstr>NIFTY16NOVFUT_High</vt:lpstr>
      <vt:lpstr>NIFTY16NOVFUT_Last</vt:lpstr>
      <vt:lpstr>NIFTY16NOVFUT_LastSize</vt:lpstr>
      <vt:lpstr>NIFTY16NOVFUT_Low</vt:lpstr>
      <vt:lpstr>NIFTY16NOVFUT_Open</vt:lpstr>
      <vt:lpstr>NIFTY16NOVFUT_Volume</vt:lpstr>
      <vt:lpstr>SAMPLETICKER_Ask</vt:lpstr>
      <vt:lpstr>SAMPLETICKER_AskSize</vt:lpstr>
      <vt:lpstr>SAMPLETICKER_Bid</vt:lpstr>
      <vt:lpstr>SAMPLETICKER_BidSize</vt:lpstr>
      <vt:lpstr>SAMPLETICKER_High</vt:lpstr>
      <vt:lpstr>SAMPLETICKER_Last</vt:lpstr>
      <vt:lpstr>SAMPLETICKER_LastSize</vt:lpstr>
      <vt:lpstr>SAMPLETICKER_Low</vt:lpstr>
      <vt:lpstr>SAMPLETICKER_Open</vt:lpstr>
      <vt:lpstr>SAMPLETICKER_Volume</vt:lpstr>
      <vt:lpstr>SILVERM16NOVFUT_Ask</vt:lpstr>
      <vt:lpstr>SILVERM16NOVFUT_AskSize</vt:lpstr>
      <vt:lpstr>SILVERM16NOVFUT_Bid</vt:lpstr>
      <vt:lpstr>SILVERM16NOVFUT_BidSize</vt:lpstr>
      <vt:lpstr>SILVERM16NOVFUT_High</vt:lpstr>
      <vt:lpstr>SILVERM16NOVFUT_Last</vt:lpstr>
      <vt:lpstr>SILVERM16NOVFUT_LastSize</vt:lpstr>
      <vt:lpstr>SILVERM16NOVFUT_Low</vt:lpstr>
      <vt:lpstr>SILVERM16NOVFUT_Open</vt:lpstr>
      <vt:lpstr>SILVERM16NOVFUT_Volume</vt:lpstr>
      <vt:lpstr>YESBANKEQ_Ask</vt:lpstr>
      <vt:lpstr>YESBANKEQ_AskSize</vt:lpstr>
      <vt:lpstr>YESBANKEQ_Bid</vt:lpstr>
      <vt:lpstr>YESBANKEQ_BidSize</vt:lpstr>
      <vt:lpstr>YESBANKEQ_High</vt:lpstr>
      <vt:lpstr>YESBANKEQ_Last</vt:lpstr>
      <vt:lpstr>YESBANKEQ_LastSize</vt:lpstr>
      <vt:lpstr>YESBANKEQ_Low</vt:lpstr>
      <vt:lpstr>YESBANKEQ_Open</vt:lpstr>
      <vt:lpstr>YESBANKEQ_Volume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Shelton</cp:lastModifiedBy>
  <dcterms:created xsi:type="dcterms:W3CDTF">2006-09-16T00:00:00Z</dcterms:created>
  <dcterms:modified xsi:type="dcterms:W3CDTF">2019-11-26T18:50:27Z</dcterms:modified>
</cp:coreProperties>
</file>